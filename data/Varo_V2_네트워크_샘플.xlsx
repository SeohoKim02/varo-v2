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21f0fec63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4eec43467d40ad"/>
    <x:sheet xmlns:r="http://schemas.openxmlformats.org/officeDocument/2006/relationships" name="stores" sheetId="2" r:id="R5167ee05bde04382"/>
    <x:sheet xmlns:r="http://schemas.openxmlformats.org/officeDocument/2006/relationships" name="products" sheetId="3" r:id="R8b8adcba0ba84a5e"/>
    <x:sheet xmlns:r="http://schemas.openxmlformats.org/officeDocument/2006/relationships" name="inventory" sheetId="4" r:id="R94e9d489c03d42ab"/>
    <x:sheet xmlns:r="http://schemas.openxmlformats.org/officeDocument/2006/relationships" name="routes" sheetId="5" r:id="R4c35f40185ca4a16"/>
    <x:sheet xmlns:r="http://schemas.openxmlformats.org/officeDocument/2006/relationships" name="v2_recommendations" sheetId="6" r:id="R726b43b7180346e5"/>
    <x:sheet xmlns:r="http://schemas.openxmlformats.org/officeDocument/2006/relationships" name="transport_modes" sheetId="7" r:id="R6e49383182cc4d21"/>
    <x:sheet xmlns:r="http://schemas.openxmlformats.org/officeDocument/2006/relationships" name="config" sheetId="8" r:id="R80b8aa9ff7d84a9a"/>
    <x:sheet xmlns:r="http://schemas.openxmlformats.org/officeDocument/2006/relationships" name="Quality_Check" sheetId="9" r:id="R0a0e3ab5679d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#,##0"/>
    <x:numFmt numFmtId="202" formatCode="0.0"/>
    <x:numFmt numFmtId="203" formatCode="#,##0.00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7D6"/>
      </x:patternFill>
    </x:fill>
  </x:fills>
  <x:borders count="8">
    <x:border/>
    <x:border/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1" fillId="0" borderId="1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1" fillId="0" borderId="1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3" fontId="1" fillId="0" borderId="3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0" borderId="6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047857"/>
      </x:font>
      <x:fill>
        <x:patternFill patternType="solid">
          <x:bgColor rgb="FFECFDF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3068831394ce5" /><Relationship Type="http://schemas.openxmlformats.org/officeDocument/2006/relationships/theme" Target="/xl/theme/theme1.xml" Id="R92fc6d56332c4204" /><Relationship Type="http://schemas.openxmlformats.org/officeDocument/2006/relationships/sharedStrings" Target="/xl/sharedStrings.xml" Id="R9bbd557e066144a8" /><Relationship Type="http://schemas.openxmlformats.org/officeDocument/2006/relationships/worksheet" Target="/xl/worksheets/sheet1.xml" Id="R124eec43467d40ad" /><Relationship Type="http://schemas.openxmlformats.org/officeDocument/2006/relationships/worksheet" Target="/xl/worksheets/sheet2.xml" Id="R5167ee05bde04382" /><Relationship Type="http://schemas.openxmlformats.org/officeDocument/2006/relationships/worksheet" Target="/xl/worksheets/sheet3.xml" Id="R8b8adcba0ba84a5e" /><Relationship Type="http://schemas.openxmlformats.org/officeDocument/2006/relationships/worksheet" Target="/xl/worksheets/sheet4.xml" Id="R94e9d489c03d42ab" /><Relationship Type="http://schemas.openxmlformats.org/officeDocument/2006/relationships/worksheet" Target="/xl/worksheets/sheet5.xml" Id="R4c35f40185ca4a16" /><Relationship Type="http://schemas.openxmlformats.org/officeDocument/2006/relationships/worksheet" Target="/xl/worksheets/sheet6.xml" Id="R726b43b7180346e5" /><Relationship Type="http://schemas.openxmlformats.org/officeDocument/2006/relationships/worksheet" Target="/xl/worksheets/sheet7.xml" Id="R6e49383182cc4d21" /><Relationship Type="http://schemas.openxmlformats.org/officeDocument/2006/relationships/worksheet" Target="/xl/worksheets/sheet8.xml" Id="R80b8aa9ff7d84a9a" /><Relationship Type="http://schemas.openxmlformats.org/officeDocument/2006/relationships/worksheet" Target="/xl/worksheets/sheet9.xml" Id="R0a0e3ab5679d4ab8" /></Relationships>
</file>

<file path=xl/tables/table1.xml><?xml version="1.0" encoding="utf-8"?>
<x:table xmlns:x="http://schemas.openxmlformats.org/spreadsheetml/2006/main" id="1" name="ReadmeTable" displayName="ReadmeTable" ref="A1:B10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StoresTable" displayName="StoresTable" ref="A1:L12" headerRowCount="1">
  <x:tableColumns count="12">
    <x:tableColumn id="1" name="store_id"/>
    <x:tableColumn id="2" name="store_name"/>
    <x:tableColumn id="3" name="type"/>
    <x:tableColumn id="4" name="store_type"/>
    <x:tableColumn id="5" name="node_type"/>
    <x:tableColumn id="6" name="region"/>
    <x:tableColumn id="7" name="latitude"/>
    <x:tableColumn id="8" name="longitude"/>
    <x:tableColumn id="9" name="available_start"/>
    <x:tableColumn id="10" name="available_end"/>
    <x:tableColumn id="11" name="capacity"/>
    <x:tableColumn id="12" name="cold_storage_available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M9" headerRowCount="1">
  <x:tableColumns count="13">
    <x:tableColumn id="1" name="product_id"/>
    <x:tableColumn id="2" name="product_name"/>
    <x:tableColumn id="3" name="category"/>
    <x:tableColumn id="4" name="inventory_category"/>
    <x:tableColumn id="5" name="unit_cost"/>
    <x:tableColumn id="6" name="unit_price"/>
    <x:tableColumn id="7" name="disposal_cost_per_unit"/>
    <x:tableColumn id="8" name="disposal_cost"/>
    <x:tableColumn id="9" name="distance_cutline_km"/>
    <x:tableColumn id="10" name="cold_required"/>
    <x:tableColumn id="11" name="lead_time_days"/>
    <x:tableColumn id="12" name="order_cost"/>
    <x:tableColumn id="13" name="holding_rate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" displayName="InventoryTable" ref="A1:AJ81" headerRowCount="1">
  <x:tableColumns count="36">
    <x:tableColumn id="1" name="inventory_id"/>
    <x:tableColumn id="2" name="store_id"/>
    <x:tableColumn id="3" name="store_name"/>
    <x:tableColumn id="4" name="region"/>
    <x:tableColumn id="5" name="product_id"/>
    <x:tableColumn id="6" name="product_name"/>
    <x:tableColumn id="7" name="category"/>
    <x:tableColumn id="8" name="inventory_category"/>
    <x:tableColumn id="9" name="stock_qty"/>
    <x:tableColumn id="10" name="current_stock"/>
    <x:tableColumn id="11" name="quantity"/>
    <x:tableColumn id="12" name="inventory_qty"/>
    <x:tableColumn id="13" name="avg_inventory"/>
    <x:tableColumn id="14" name="avg_daily_sales"/>
    <x:tableColumn id="15" name="sales_7d"/>
    <x:tableColumn id="16" name="sales_30d"/>
    <x:tableColumn id="17" name="sales_30"/>
    <x:tableColumn id="18" name="dead_stock_qty"/>
    <x:tableColumn id="19" name="demand_qty"/>
    <x:tableColumn id="20" name="days_to_expiry"/>
    <x:tableColumn id="21" name="expiry_days"/>
    <x:tableColumn id="22" name="inbound_days_ago"/>
    <x:tableColumn id="23" name="inbound_days"/>
    <x:tableColumn id="24" name="unit_cost"/>
    <x:tableColumn id="25" name="unit_price"/>
    <x:tableColumn id="26" name="disposal_cost_per_unit"/>
    <x:tableColumn id="27" name="disposal_cost"/>
    <x:tableColumn id="28" name="demand_std"/>
    <x:tableColumn id="29" name="lead_time_days"/>
    <x:tableColumn id="30" name="order_cost"/>
    <x:tableColumn id="31" name="holding_cost"/>
    <x:tableColumn id="32" name="daily_holding_cost"/>
    <x:tableColumn id="33" name="cold_required"/>
    <x:tableColumn id="34" name="service_level"/>
    <x:tableColumn id="35" name="capacity"/>
    <x:tableColumn id="36" name="expiry_risk_score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" displayName="RoutesTable" ref="A1:V111" headerRowCount="1">
  <x:tableColumns count="22">
    <x:tableColumn id="1" name="route_id"/>
    <x:tableColumn id="2" name="from_id"/>
    <x:tableColumn id="3" name="to_id"/>
    <x:tableColumn id="4" name="source_id"/>
    <x:tableColumn id="5" name="target_id"/>
    <x:tableColumn id="6" name="source_store"/>
    <x:tableColumn id="7" name="target_store"/>
    <x:tableColumn id="8" name="route_type"/>
    <x:tableColumn id="9" name="distance_km"/>
    <x:tableColumn id="10" name="route_distance_km"/>
    <x:tableColumn id="11" name="direct_distance_km"/>
    <x:tableColumn id="12" name="travel_time_min"/>
    <x:tableColumn id="13" name="route_time_min"/>
    <x:tableColumn id="14" name="time_min"/>
    <x:tableColumn id="15" name="transport_cost"/>
    <x:tableColumn id="16" name="estimated_cost"/>
    <x:tableColumn id="17" name="direct_cost"/>
    <x:tableColumn id="18" name="cost_per_km"/>
    <x:tableColumn id="19" name="fixed_cost"/>
    <x:tableColumn id="20" name="cold_chain_available"/>
    <x:tableColumn id="21" name="available"/>
    <x:tableColumn id="22" name="transport_type"/>
  </x:tableColumns>
  <x:tableStyleInfo name="TableStyleMedium2" showRowStripes="1"/>
</x:table>
</file>

<file path=xl/tables/table6.xml><?xml version="1.0" encoding="utf-8"?>
<x:table xmlns:x="http://schemas.openxmlformats.org/spreadsheetml/2006/main" id="6" name="V2RecommendationsTable" displayName="V2RecommendationsTable" ref="A1:Y9" headerRowCount="1">
  <x:tableColumns count="25">
    <x:tableColumn id="1" name="route_id"/>
    <x:tableColumn id="2" name="product_id"/>
    <x:tableColumn id="3" name="product_name"/>
    <x:tableColumn id="4" name="source_id"/>
    <x:tableColumn id="5" name="source_name"/>
    <x:tableColumn id="6" name="target_id"/>
    <x:tableColumn id="7" name="target_name"/>
    <x:tableColumn id="8" name="dc_id"/>
    <x:tableColumn id="9" name="dc_name"/>
    <x:tableColumn id="10" name="route_type"/>
    <x:tableColumn id="11" name="recommended_qty"/>
    <x:tableColumn id="12" name="transport_type"/>
    <x:tableColumn id="13" name="distance_km"/>
    <x:tableColumn id="14" name="travel_time_min"/>
    <x:tableColumn id="15" name="estimated_cost"/>
    <x:tableColumn id="16" name="expected_saving"/>
    <x:tableColumn id="17" name="vhs_score"/>
    <x:tableColumn id="18" name="recommendation_grade"/>
    <x:tableColumn id="19" name="confidence_score"/>
    <x:tableColumn id="20" name="greedy_action"/>
    <x:tableColumn id="21" name="dqn_action"/>
    <x:tableColumn id="22" name="reason"/>
    <x:tableColumn id="23" name="avoided_disposal_cost"/>
    <x:tableColumn id="24" name="recovered_margin"/>
    <x:tableColumn id="25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TransportModesTable" displayName="TransportModesTable" ref="A1:H6" headerRowCount="1">
  <x:tableColumns count="8">
    <x:tableColumn id="1" name="transport_type"/>
    <x:tableColumn id="2" name="base_cost"/>
    <x:tableColumn id="3" name="cost_per_km"/>
    <x:tableColumn id="4" name="capacity"/>
    <x:tableColumn id="5" name="speed_factor"/>
    <x:tableColumn id="6" name="cold_chain"/>
    <x:tableColumn id="7" name="icon"/>
    <x:tableColumn id="8" name="max_distance_km"/>
  </x:tableColumns>
  <x:tableStyleInfo name="TableStyleMedium2" showRowStripes="1"/>
</x:table>
</file>

<file path=xl/tables/table8.xml><?xml version="1.0" encoding="utf-8"?>
<x:table xmlns:x="http://schemas.openxmlformats.org/spreadsheetml/2006/main" id="8" name="ConfigTable" displayName="ConfigTable" ref="A1:C8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a97bf5396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f04d5394884c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800a8a386e42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ea03e655114e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3498acbd7749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a47d2b4c65944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569d98ce50142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c0c5e603c75439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30" customHeight="1">
      <x:c r="A1" s="9" t="str">
        <x:v>항목</x:v>
      </x:c>
      <x:c r="B1" s="9" t="str">
        <x:v>내용</x:v>
      </x:c>
    </x:row>
    <x:row r="2" ht="36" customHeight="1">
      <x:c r="A2" s="4" t="str">
        <x:v>파일 목적</x:v>
      </x:c>
      <x:c r="B2" s="56" t="str">
        <x:v>Varo V2 데이터 로더·네트워크 시뮬레이션·기존 Varo 알고리즘 연결 검증용 샘플</x:v>
      </x:c>
    </x:row>
    <x:row r="3" ht="36" customHeight="1">
      <x:c r="A3" s="4" t="str">
        <x:v>필수 시트</x:v>
      </x:c>
      <x:c r="B3" s="56" t="str">
        <x:v>stores, products, inventory, routes</x:v>
      </x:c>
    </x:row>
    <x:row r="4" ht="36" customHeight="1">
      <x:c r="A4" s="4" t="str">
        <x:v>추가 시트</x:v>
      </x:c>
      <x:c r="B4" s="56" t="str">
        <x:v>v2_recommendations, transport_modes, config, Quality_Check</x:v>
      </x:c>
    </x:row>
    <x:row r="5" ht="36" customHeight="1">
      <x:c r="A5" s="4" t="str">
        <x:v>네트워크 구성</x:v>
      </x:c>
      <x:c r="B5" s="56" t="str">
        <x:v>DC 1개(DC01) + 점포 10개</x:v>
      </x:c>
    </x:row>
    <x:row r="6" ht="36" customHeight="1">
      <x:c r="A6" s="4" t="str">
        <x:v>경로 구성</x:v>
      </x:c>
      <x:c r="B6" s="56" t="str">
        <x:v>점포 간 직접 경로 + 점포→DC + DC→점포</x:v>
      </x:c>
    </x:row>
    <x:row r="7" ht="36" customHeight="1">
      <x:c r="A7" s="4" t="str">
        <x:v>홈 시뮬레이션</x:v>
      </x:c>
      <x:c r="B7" s="56" t="str">
        <x:v>v2_recommendations 상위 5개가 DIRECT/VIA_DC 혼합으로 구성됨</x:v>
      </x:c>
    </x:row>
    <x:row r="8" ht="36" customHeight="1">
      <x:c r="A8" s="4" t="str">
        <x:v>샘플 시나리오</x:v>
      </x:c>
      <x:c r="B8" s="56" t="str">
        <x:v>과잉 재고 점포와 부족 점포를 상품별로 분리하여 이동 후보가 명확하게 생성되도록 구성</x:v>
      </x:c>
    </x:row>
    <x:row r="9" ht="36" customHeight="1">
      <x:c r="A9" s="4" t="str">
        <x:v>주의</x:v>
      </x:c>
      <x:c r="B9" s="56" t="str">
        <x:v>기존 transfer_path_analyzer.py의 _build_route_lookup는 선행 언더스코어 컬럼을 itertuples로 읽는 부분을 연결 단계에서 점검해야 함</x:v>
      </x:c>
    </x:row>
    <x:row r="10" ht="36" customHeight="1">
      <x:c r="A10" s="15" t="str">
        <x:v>작성일</x:v>
      </x:c>
      <x:c r="B10" s="57" t="str">
        <x:v>2026-06-17</x:v>
      </x:c>
    </x:row>
  </x:sheetData>
  <x:pageMargins left="0.7" right="0.7" top="0.75" bottom="0.75" header="0.3" footer="0.3"/>
  <x:tableParts count="1">
    <x:tablePart xmlns:r="http://schemas.openxmlformats.org/officeDocument/2006/relationships" r:id="R019a97bf539643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1" hidden="0" customWidth="1"/>
    <x:col min="12" max="12" width="22" hidden="0" customWidth="1"/>
  </x:cols>
  <x:sheetData>
    <x:row r="1" ht="30" customHeight="1">
      <x:c r="A1" s="9" t="str">
        <x:v>store_id</x:v>
      </x:c>
      <x:c r="B1" s="9" t="str">
        <x:v>store_name</x:v>
      </x:c>
      <x:c r="C1" s="9" t="str">
        <x:v>type</x:v>
      </x:c>
      <x:c r="D1" s="9" t="str">
        <x:v>store_type</x:v>
      </x:c>
      <x:c r="E1" s="9" t="str">
        <x:v>node_type</x:v>
      </x:c>
      <x:c r="F1" s="9" t="str">
        <x:v>region</x:v>
      </x:c>
      <x:c r="G1" s="9" t="str">
        <x:v>latitude</x:v>
      </x:c>
      <x:c r="H1" s="9" t="str">
        <x:v>longitude</x:v>
      </x:c>
      <x:c r="I1" s="9" t="str">
        <x:v>available_start</x:v>
      </x:c>
      <x:c r="J1" s="9" t="str">
        <x:v>available_end</x:v>
      </x:c>
      <x:c r="K1" s="9" t="str">
        <x:v>capacity</x:v>
      </x:c>
      <x:c r="L1" s="9" t="str">
        <x:v>cold_storage_available</x:v>
      </x:c>
    </x:row>
    <x:row r="2" ht="22" customHeight="1">
      <x:c r="A2" s="4" t="str">
        <x:v>DC01</x:v>
      </x:c>
      <x:c r="B2" s="4" t="str">
        <x:v>서울 서북권 물류센터</x:v>
      </x:c>
      <x:c r="C2" s="4" t="str">
        <x:v>DC</x:v>
      </x:c>
      <x:c r="D2" s="4" t="str">
        <x:v>DC</x:v>
      </x:c>
      <x:c r="E2" s="4" t="str">
        <x:v>DC</x:v>
      </x:c>
      <x:c r="F2" s="4" t="str">
        <x:v>서울 서북권</x:v>
      </x:c>
      <x:c r="G2" s="24" t="n">
        <x:v>37.574</x:v>
      </x:c>
      <x:c r="H2" s="24" t="n">
        <x:v>126.968</x:v>
      </x:c>
      <x:c r="I2" s="4" t="str">
        <x:v>06:00</x:v>
      </x:c>
      <x:c r="J2" s="4" t="str">
        <x:v>23:00</x:v>
      </x:c>
      <x:c r="K2" s="4" t="n">
        <x:v>2500</x:v>
      </x:c>
      <x:c r="L2" s="14" t="str">
        <x:v>Y</x:v>
      </x:c>
    </x:row>
    <x:row r="3" ht="22" customHeight="1">
      <x:c r="A3" s="4" t="str">
        <x:v>S01</x:v>
      </x:c>
      <x:c r="B3" s="4" t="str">
        <x:v>연신내점</x:v>
      </x:c>
      <x:c r="C3" s="4" t="str">
        <x:v>STORE</x:v>
      </x:c>
      <x:c r="D3" s="4" t="str">
        <x:v>STORE</x:v>
      </x:c>
      <x:c r="E3" s="4" t="str">
        <x:v>STORE</x:v>
      </x:c>
      <x:c r="F3" s="4" t="str">
        <x:v>은평구</x:v>
      </x:c>
      <x:c r="G3" s="24" t="n">
        <x:v>37.619</x:v>
      </x:c>
      <x:c r="H3" s="24" t="n">
        <x:v>126.921</x:v>
      </x:c>
      <x:c r="I3" s="4" t="str">
        <x:v>08:00</x:v>
      </x:c>
      <x:c r="J3" s="4" t="str">
        <x:v>22:00</x:v>
      </x:c>
      <x:c r="K3" s="4" t="n">
        <x:v>500</x:v>
      </x:c>
      <x:c r="L3" s="14" t="str">
        <x:v>Y</x:v>
      </x:c>
    </x:row>
    <x:row r="4" ht="22" customHeight="1">
      <x:c r="A4" s="4" t="str">
        <x:v>S02</x:v>
      </x:c>
      <x:c r="B4" s="4" t="str">
        <x:v>불광점</x:v>
      </x:c>
      <x:c r="C4" s="4" t="str">
        <x:v>STORE</x:v>
      </x:c>
      <x:c r="D4" s="4" t="str">
        <x:v>STORE</x:v>
      </x:c>
      <x:c r="E4" s="4" t="str">
        <x:v>STORE</x:v>
      </x:c>
      <x:c r="F4" s="4" t="str">
        <x:v>은평구</x:v>
      </x:c>
      <x:c r="G4" s="24" t="n">
        <x:v>37.61</x:v>
      </x:c>
      <x:c r="H4" s="24" t="n">
        <x:v>126.93</x:v>
      </x:c>
      <x:c r="I4" s="4" t="str">
        <x:v>08:00</x:v>
      </x:c>
      <x:c r="J4" s="4" t="str">
        <x:v>22:00</x:v>
      </x:c>
      <x:c r="K4" s="4" t="n">
        <x:v>500</x:v>
      </x:c>
      <x:c r="L4" s="14" t="str">
        <x:v>Y</x:v>
      </x:c>
    </x:row>
    <x:row r="5" ht="22" customHeight="1">
      <x:c r="A5" s="4" t="str">
        <x:v>S03</x:v>
      </x:c>
      <x:c r="B5" s="4" t="str">
        <x:v>응암점</x:v>
      </x:c>
      <x:c r="C5" s="4" t="str">
        <x:v>STORE</x:v>
      </x:c>
      <x:c r="D5" s="4" t="str">
        <x:v>STORE</x:v>
      </x:c>
      <x:c r="E5" s="4" t="str">
        <x:v>STORE</x:v>
      </x:c>
      <x:c r="F5" s="4" t="str">
        <x:v>은평구</x:v>
      </x:c>
      <x:c r="G5" s="24" t="n">
        <x:v>37.598</x:v>
      </x:c>
      <x:c r="H5" s="24" t="n">
        <x:v>126.915</x:v>
      </x:c>
      <x:c r="I5" s="4" t="str">
        <x:v>08:00</x:v>
      </x:c>
      <x:c r="J5" s="4" t="str">
        <x:v>22:00</x:v>
      </x:c>
      <x:c r="K5" s="4" t="n">
        <x:v>500</x:v>
      </x:c>
      <x:c r="L5" s="14" t="str">
        <x:v>Y</x:v>
      </x:c>
    </x:row>
    <x:row r="6" ht="22" customHeight="1">
      <x:c r="A6" s="4" t="str">
        <x:v>S04</x:v>
      </x:c>
      <x:c r="B6" s="4" t="str">
        <x:v>홍제점</x:v>
      </x:c>
      <x:c r="C6" s="4" t="str">
        <x:v>STORE</x:v>
      </x:c>
      <x:c r="D6" s="4" t="str">
        <x:v>STORE</x:v>
      </x:c>
      <x:c r="E6" s="4" t="str">
        <x:v>STORE</x:v>
      </x:c>
      <x:c r="F6" s="4" t="str">
        <x:v>서대문구</x:v>
      </x:c>
      <x:c r="G6" s="24" t="n">
        <x:v>37.589</x:v>
      </x:c>
      <x:c r="H6" s="24" t="n">
        <x:v>126.943</x:v>
      </x:c>
      <x:c r="I6" s="4" t="str">
        <x:v>08:00</x:v>
      </x:c>
      <x:c r="J6" s="4" t="str">
        <x:v>22:00</x:v>
      </x:c>
      <x:c r="K6" s="4" t="n">
        <x:v>500</x:v>
      </x:c>
      <x:c r="L6" s="14" t="str">
        <x:v>Y</x:v>
      </x:c>
    </x:row>
    <x:row r="7" ht="22" customHeight="1">
      <x:c r="A7" s="4" t="str">
        <x:v>S05</x:v>
      </x:c>
      <x:c r="B7" s="4" t="str">
        <x:v>신촌점</x:v>
      </x:c>
      <x:c r="C7" s="4" t="str">
        <x:v>STORE</x:v>
      </x:c>
      <x:c r="D7" s="4" t="str">
        <x:v>STORE</x:v>
      </x:c>
      <x:c r="E7" s="4" t="str">
        <x:v>STORE</x:v>
      </x:c>
      <x:c r="F7" s="4" t="str">
        <x:v>서대문구</x:v>
      </x:c>
      <x:c r="G7" s="24" t="n">
        <x:v>37.556</x:v>
      </x:c>
      <x:c r="H7" s="24" t="n">
        <x:v>126.937</x:v>
      </x:c>
      <x:c r="I7" s="4" t="str">
        <x:v>08:00</x:v>
      </x:c>
      <x:c r="J7" s="4" t="str">
        <x:v>22:00</x:v>
      </x:c>
      <x:c r="K7" s="4" t="n">
        <x:v>500</x:v>
      </x:c>
      <x:c r="L7" s="14" t="str">
        <x:v>Y</x:v>
      </x:c>
    </x:row>
    <x:row r="8" ht="22" customHeight="1">
      <x:c r="A8" s="4" t="str">
        <x:v>S06</x:v>
      </x:c>
      <x:c r="B8" s="4" t="str">
        <x:v>마포점</x:v>
      </x:c>
      <x:c r="C8" s="4" t="str">
        <x:v>STORE</x:v>
      </x:c>
      <x:c r="D8" s="4" t="str">
        <x:v>STORE</x:v>
      </x:c>
      <x:c r="E8" s="4" t="str">
        <x:v>STORE</x:v>
      </x:c>
      <x:c r="F8" s="4" t="str">
        <x:v>마포구</x:v>
      </x:c>
      <x:c r="G8" s="24" t="n">
        <x:v>37.548</x:v>
      </x:c>
      <x:c r="H8" s="24" t="n">
        <x:v>126.955</x:v>
      </x:c>
      <x:c r="I8" s="4" t="str">
        <x:v>08:00</x:v>
      </x:c>
      <x:c r="J8" s="4" t="str">
        <x:v>22:00</x:v>
      </x:c>
      <x:c r="K8" s="4" t="n">
        <x:v>500</x:v>
      </x:c>
      <x:c r="L8" s="14" t="str">
        <x:v>Y</x:v>
      </x:c>
    </x:row>
    <x:row r="9" ht="22" customHeight="1">
      <x:c r="A9" s="4" t="str">
        <x:v>S07</x:v>
      </x:c>
      <x:c r="B9" s="4" t="str">
        <x:v>종로점</x:v>
      </x:c>
      <x:c r="C9" s="4" t="str">
        <x:v>STORE</x:v>
      </x:c>
      <x:c r="D9" s="4" t="str">
        <x:v>STORE</x:v>
      </x:c>
      <x:c r="E9" s="4" t="str">
        <x:v>STORE</x:v>
      </x:c>
      <x:c r="F9" s="4" t="str">
        <x:v>종로구</x:v>
      </x:c>
      <x:c r="G9" s="24" t="n">
        <x:v>37.572</x:v>
      </x:c>
      <x:c r="H9" s="24" t="n">
        <x:v>126.982</x:v>
      </x:c>
      <x:c r="I9" s="4" t="str">
        <x:v>08:00</x:v>
      </x:c>
      <x:c r="J9" s="4" t="str">
        <x:v>22:00</x:v>
      </x:c>
      <x:c r="K9" s="4" t="n">
        <x:v>500</x:v>
      </x:c>
      <x:c r="L9" s="14" t="str">
        <x:v>Y</x:v>
      </x:c>
    </x:row>
    <x:row r="10" ht="22" customHeight="1">
      <x:c r="A10" s="4" t="str">
        <x:v>S08</x:v>
      </x:c>
      <x:c r="B10" s="4" t="str">
        <x:v>용산점</x:v>
      </x:c>
      <x:c r="C10" s="4" t="str">
        <x:v>STORE</x:v>
      </x:c>
      <x:c r="D10" s="4" t="str">
        <x:v>STORE</x:v>
      </x:c>
      <x:c r="E10" s="4" t="str">
        <x:v>STORE</x:v>
      </x:c>
      <x:c r="F10" s="4" t="str">
        <x:v>용산구</x:v>
      </x:c>
      <x:c r="G10" s="24" t="n">
        <x:v>37.532</x:v>
      </x:c>
      <x:c r="H10" s="24" t="n">
        <x:v>126.965</x:v>
      </x:c>
      <x:c r="I10" s="4" t="str">
        <x:v>08:00</x:v>
      </x:c>
      <x:c r="J10" s="4" t="str">
        <x:v>22:00</x:v>
      </x:c>
      <x:c r="K10" s="4" t="n">
        <x:v>500</x:v>
      </x:c>
      <x:c r="L10" s="14" t="str">
        <x:v>Y</x:v>
      </x:c>
    </x:row>
    <x:row r="11" ht="22" customHeight="1">
      <x:c r="A11" s="4" t="str">
        <x:v>S09</x:v>
      </x:c>
      <x:c r="B11" s="4" t="str">
        <x:v>상암점</x:v>
      </x:c>
      <x:c r="C11" s="4" t="str">
        <x:v>STORE</x:v>
      </x:c>
      <x:c r="D11" s="4" t="str">
        <x:v>STORE</x:v>
      </x:c>
      <x:c r="E11" s="4" t="str">
        <x:v>STORE</x:v>
      </x:c>
      <x:c r="F11" s="4" t="str">
        <x:v>마포구</x:v>
      </x:c>
      <x:c r="G11" s="24" t="n">
        <x:v>37.579</x:v>
      </x:c>
      <x:c r="H11" s="24" t="n">
        <x:v>126.889</x:v>
      </x:c>
      <x:c r="I11" s="4" t="str">
        <x:v>08:00</x:v>
      </x:c>
      <x:c r="J11" s="4" t="str">
        <x:v>22:00</x:v>
      </x:c>
      <x:c r="K11" s="4" t="n">
        <x:v>500</x:v>
      </x:c>
      <x:c r="L11" s="14" t="str">
        <x:v>Y</x:v>
      </x:c>
    </x:row>
    <x:row r="12" ht="22" customHeight="1">
      <x:c r="A12" s="15" t="str">
        <x:v>S10</x:v>
      </x:c>
      <x:c r="B12" s="15" t="str">
        <x:v>구파발점</x:v>
      </x:c>
      <x:c r="C12" s="15" t="str">
        <x:v>STORE</x:v>
      </x:c>
      <x:c r="D12" s="15" t="str">
        <x:v>STORE</x:v>
      </x:c>
      <x:c r="E12" s="15" t="str">
        <x:v>STORE</x:v>
      </x:c>
      <x:c r="F12" s="15" t="str">
        <x:v>은평구</x:v>
      </x:c>
      <x:c r="G12" s="25" t="n">
        <x:v>37.637</x:v>
      </x:c>
      <x:c r="H12" s="25" t="n">
        <x:v>126.918</x:v>
      </x:c>
      <x:c r="I12" s="15" t="str">
        <x:v>08:00</x:v>
      </x:c>
      <x:c r="J12" s="15" t="str">
        <x:v>22:00</x:v>
      </x:c>
      <x:c r="K12" s="15" t="n">
        <x:v>500</x:v>
      </x:c>
      <x:c r="L12" s="16" t="str">
        <x:v>Y</x:v>
      </x:c>
    </x:row>
    <x:row r="13">
      <x:c r="G13" s="26"/>
      <x:c r="H13" s="26"/>
    </x:row>
    <x:row r="14">
      <x:c r="G14" s="26"/>
      <x:c r="H14" s="26"/>
    </x:row>
    <x:row r="15">
      <x:c r="G15" s="26"/>
      <x:c r="H15" s="26"/>
    </x:row>
    <x:row r="16">
      <x:c r="G16" s="26"/>
      <x:c r="H16" s="26"/>
    </x:row>
    <x:row r="17">
      <x:c r="G17" s="26"/>
      <x:c r="H17" s="26"/>
    </x:row>
    <x:row r="18">
      <x:c r="G18" s="26"/>
      <x:c r="H18" s="26"/>
    </x:row>
    <x:row r="19">
      <x:c r="G19" s="26"/>
      <x:c r="H19" s="26"/>
    </x:row>
    <x:row r="20">
      <x:c r="G20" s="26"/>
      <x:c r="H20" s="26"/>
    </x:row>
  </x:sheetData>
  <x:pageMargins left="0.7" right="0.7" top="0.75" bottom="0.75" header="0.3" footer="0.3"/>
  <x:tableParts count="1">
    <x:tablePart xmlns:r="http://schemas.openxmlformats.org/officeDocument/2006/relationships" r:id="R09f04d5394884c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15" hidden="0" customWidth="1"/>
    <x:col min="4" max="4" width="18" hidden="0" customWidth="1"/>
    <x:col min="5" max="5" width="12" hidden="0" customWidth="1"/>
    <x:col min="6" max="6" width="12" hidden="0" customWidth="1"/>
    <x:col min="7" max="7" width="22" hidden="0" customWidth="1"/>
    <x:col min="8" max="8" width="16" hidden="0" customWidth="1"/>
    <x:col min="9" max="9" width="20" hidden="0" customWidth="1"/>
    <x:col min="10" max="10" width="15" hidden="0" customWidth="1"/>
    <x:col min="11" max="11" width="15" hidden="0" customWidth="1"/>
    <x:col min="12" max="12" width="13" hidden="0" customWidth="1"/>
    <x:col min="13" max="13" width="13" hidden="0" customWidth="1"/>
  </x:cols>
  <x:sheetData>
    <x:row r="1" ht="30" customHeight="1">
      <x:c r="A1" s="9" t="str">
        <x:v>product_id</x:v>
      </x:c>
      <x:c r="B1" s="9" t="str">
        <x:v>product_name</x:v>
      </x:c>
      <x:c r="C1" s="9" t="str">
        <x:v>category</x:v>
      </x:c>
      <x:c r="D1" s="9" t="str">
        <x:v>inventory_category</x:v>
      </x:c>
      <x:c r="E1" s="9" t="str">
        <x:v>unit_cost</x:v>
      </x:c>
      <x:c r="F1" s="9" t="str">
        <x:v>unit_price</x:v>
      </x:c>
      <x:c r="G1" s="9" t="str">
        <x:v>disposal_cost_per_unit</x:v>
      </x:c>
      <x:c r="H1" s="9" t="str">
        <x:v>disposal_cost</x:v>
      </x:c>
      <x:c r="I1" s="9" t="str">
        <x:v>distance_cutline_km</x:v>
      </x:c>
      <x:c r="J1" s="9" t="str">
        <x:v>cold_required</x:v>
      </x:c>
      <x:c r="K1" s="9" t="str">
        <x:v>lead_time_days</x:v>
      </x:c>
      <x:c r="L1" s="9" t="str">
        <x:v>order_cost</x:v>
      </x:c>
      <x:c r="M1" s="9" t="str">
        <x:v>holding_rate</x:v>
      </x:c>
    </x:row>
    <x:row r="2" ht="22" customHeight="1">
      <x:c r="A2" s="4" t="str">
        <x:v>P01</x:v>
      </x:c>
      <x:c r="B2" s="4" t="str">
        <x:v>냉동만두500g</x:v>
      </x:c>
      <x:c r="C2" s="4" t="str">
        <x:v>냉동식품</x:v>
      </x:c>
      <x:c r="D2" s="4" t="str">
        <x:v>냉동식품</x:v>
      </x:c>
      <x:c r="E2" s="30" t="n">
        <x:v>3800</x:v>
      </x:c>
      <x:c r="F2" s="30" t="n">
        <x:v>4900</x:v>
      </x:c>
      <x:c r="G2" s="30" t="n">
        <x:v>650</x:v>
      </x:c>
      <x:c r="H2" s="30" t="n">
        <x:v>650</x:v>
      </x:c>
      <x:c r="I2" s="36" t="n">
        <x:v>12</x:v>
      </x:c>
      <x:c r="J2" s="4" t="str">
        <x:v>Y</x:v>
      </x:c>
      <x:c r="K2" s="4" t="n">
        <x:v>1</x:v>
      </x:c>
      <x:c r="L2" s="4" t="n">
        <x:v>12000</x:v>
      </x:c>
      <x:c r="M2" s="14" t="n">
        <x:v>0.18</x:v>
      </x:c>
    </x:row>
    <x:row r="3" ht="22" customHeight="1">
      <x:c r="A3" s="4" t="str">
        <x:v>P02</x:v>
      </x:c>
      <x:c r="B3" s="4" t="str">
        <x:v>유어스샐러드랩</x:v>
      </x:c>
      <x:c r="C3" s="4" t="str">
        <x:v>신선식품</x:v>
      </x:c>
      <x:c r="D3" s="4" t="str">
        <x:v>신선식품</x:v>
      </x:c>
      <x:c r="E3" s="30" t="n">
        <x:v>2450</x:v>
      </x:c>
      <x:c r="F3" s="30" t="n">
        <x:v>3300</x:v>
      </x:c>
      <x:c r="G3" s="30" t="n">
        <x:v>500</x:v>
      </x:c>
      <x:c r="H3" s="30" t="n">
        <x:v>500</x:v>
      </x:c>
      <x:c r="I3" s="36" t="n">
        <x:v>8</x:v>
      </x:c>
      <x:c r="J3" s="4" t="str">
        <x:v>Y</x:v>
      </x:c>
      <x:c r="K3" s="4" t="n">
        <x:v>2</x:v>
      </x:c>
      <x:c r="L3" s="4" t="n">
        <x:v>12000</x:v>
      </x:c>
      <x:c r="M3" s="14" t="n">
        <x:v>0.18</x:v>
      </x:c>
    </x:row>
    <x:row r="4" ht="22" customHeight="1">
      <x:c r="A4" s="4" t="str">
        <x:v>P03</x:v>
      </x:c>
      <x:c r="B4" s="4" t="str">
        <x:v>서울우유200ml</x:v>
      </x:c>
      <x:c r="C4" s="4" t="str">
        <x:v>유제품</x:v>
      </x:c>
      <x:c r="D4" s="4" t="str">
        <x:v>유제품</x:v>
      </x:c>
      <x:c r="E4" s="30" t="n">
        <x:v>1090</x:v>
      </x:c>
      <x:c r="F4" s="30" t="n">
        <x:v>1500</x:v>
      </x:c>
      <x:c r="G4" s="30" t="n">
        <x:v>250</x:v>
      </x:c>
      <x:c r="H4" s="30" t="n">
        <x:v>250</x:v>
      </x:c>
      <x:c r="I4" s="36" t="n">
        <x:v>10</x:v>
      </x:c>
      <x:c r="J4" s="4" t="str">
        <x:v>Y</x:v>
      </x:c>
      <x:c r="K4" s="4" t="n">
        <x:v>2</x:v>
      </x:c>
      <x:c r="L4" s="4" t="n">
        <x:v>8000</x:v>
      </x:c>
      <x:c r="M4" s="14" t="n">
        <x:v>0.18</x:v>
      </x:c>
    </x:row>
    <x:row r="5" ht="22" customHeight="1">
      <x:c r="A5" s="4" t="str">
        <x:v>P04</x:v>
      </x:c>
      <x:c r="B5" s="4" t="str">
        <x:v>혜자로운도시락</x:v>
      </x:c>
      <x:c r="C5" s="4" t="str">
        <x:v>도시락</x:v>
      </x:c>
      <x:c r="D5" s="4" t="str">
        <x:v>도시락</x:v>
      </x:c>
      <x:c r="E5" s="30" t="n">
        <x:v>3500</x:v>
      </x:c>
      <x:c r="F5" s="30" t="n">
        <x:v>4900</x:v>
      </x:c>
      <x:c r="G5" s="30" t="n">
        <x:v>700</x:v>
      </x:c>
      <x:c r="H5" s="30" t="n">
        <x:v>700</x:v>
      </x:c>
      <x:c r="I5" s="36" t="n">
        <x:v>7</x:v>
      </x:c>
      <x:c r="J5" s="4" t="str">
        <x:v>Y</x:v>
      </x:c>
      <x:c r="K5" s="4" t="n">
        <x:v>1</x:v>
      </x:c>
      <x:c r="L5" s="4" t="n">
        <x:v>12000</x:v>
      </x:c>
      <x:c r="M5" s="14" t="n">
        <x:v>0.18</x:v>
      </x:c>
    </x:row>
    <x:row r="6" ht="22" customHeight="1">
      <x:c r="A6" s="4" t="str">
        <x:v>P05</x:v>
      </x:c>
      <x:c r="B6" s="4" t="str">
        <x:v>제주삼다수2L</x:v>
      </x:c>
      <x:c r="C6" s="4" t="str">
        <x:v>음료</x:v>
      </x:c>
      <x:c r="D6" s="4" t="str">
        <x:v>음료</x:v>
      </x:c>
      <x:c r="E6" s="30" t="n">
        <x:v>1500</x:v>
      </x:c>
      <x:c r="F6" s="30" t="n">
        <x:v>2000</x:v>
      </x:c>
      <x:c r="G6" s="30" t="n">
        <x:v>220</x:v>
      </x:c>
      <x:c r="H6" s="30" t="n">
        <x:v>220</x:v>
      </x:c>
      <x:c r="I6" s="36" t="n">
        <x:v>18</x:v>
      </x:c>
      <x:c r="J6" s="4" t="str">
        <x:v>N</x:v>
      </x:c>
      <x:c r="K6" s="4" t="n">
        <x:v>4</x:v>
      </x:c>
      <x:c r="L6" s="4" t="n">
        <x:v>8000</x:v>
      </x:c>
      <x:c r="M6" s="14" t="n">
        <x:v>0.18</x:v>
      </x:c>
    </x:row>
    <x:row r="7" ht="22" customHeight="1">
      <x:c r="A7" s="4" t="str">
        <x:v>P06</x:v>
      </x:c>
      <x:c r="B7" s="4" t="str">
        <x:v>냉동삼각김밥</x:v>
      </x:c>
      <x:c r="C7" s="4" t="str">
        <x:v>냉동식품</x:v>
      </x:c>
      <x:c r="D7" s="4" t="str">
        <x:v>냉동식품</x:v>
      </x:c>
      <x:c r="E7" s="30" t="n">
        <x:v>1800</x:v>
      </x:c>
      <x:c r="F7" s="30" t="n">
        <x:v>2500</x:v>
      </x:c>
      <x:c r="G7" s="30" t="n">
        <x:v>350</x:v>
      </x:c>
      <x:c r="H7" s="30" t="n">
        <x:v>350</x:v>
      </x:c>
      <x:c r="I7" s="36" t="n">
        <x:v>10</x:v>
      </x:c>
      <x:c r="J7" s="4" t="str">
        <x:v>Y</x:v>
      </x:c>
      <x:c r="K7" s="4" t="n">
        <x:v>2</x:v>
      </x:c>
      <x:c r="L7" s="4" t="n">
        <x:v>12000</x:v>
      </x:c>
      <x:c r="M7" s="14" t="n">
        <x:v>0.18</x:v>
      </x:c>
    </x:row>
    <x:row r="8" ht="22" customHeight="1">
      <x:c r="A8" s="4" t="str">
        <x:v>P07</x:v>
      </x:c>
      <x:c r="B8" s="4" t="str">
        <x:v>브레디크소금버터롤</x:v>
      </x:c>
      <x:c r="C8" s="4" t="str">
        <x:v>베이커리</x:v>
      </x:c>
      <x:c r="D8" s="4" t="str">
        <x:v>베이커리</x:v>
      </x:c>
      <x:c r="E8" s="30" t="n">
        <x:v>2090</x:v>
      </x:c>
      <x:c r="F8" s="30" t="n">
        <x:v>2900</x:v>
      </x:c>
      <x:c r="G8" s="30" t="n">
        <x:v>400</x:v>
      </x:c>
      <x:c r="H8" s="30" t="n">
        <x:v>400</x:v>
      </x:c>
      <x:c r="I8" s="36" t="n">
        <x:v>8</x:v>
      </x:c>
      <x:c r="J8" s="4" t="str">
        <x:v>N</x:v>
      </x:c>
      <x:c r="K8" s="4" t="n">
        <x:v>1</x:v>
      </x:c>
      <x:c r="L8" s="4" t="n">
        <x:v>8000</x:v>
      </x:c>
      <x:c r="M8" s="14" t="n">
        <x:v>0.18</x:v>
      </x:c>
    </x:row>
    <x:row r="9" ht="22" customHeight="1">
      <x:c r="A9" s="15" t="str">
        <x:v>P08</x:v>
      </x:c>
      <x:c r="B9" s="15" t="str">
        <x:v>오뚜기진라면컵</x:v>
      </x:c>
      <x:c r="C9" s="15" t="str">
        <x:v>라면</x:v>
      </x:c>
      <x:c r="D9" s="15" t="str">
        <x:v>라면</x:v>
      </x:c>
      <x:c r="E9" s="31" t="n">
        <x:v>950</x:v>
      </x:c>
      <x:c r="F9" s="31" t="n">
        <x:v>1400</x:v>
      </x:c>
      <x:c r="G9" s="31" t="n">
        <x:v>180</x:v>
      </x:c>
      <x:c r="H9" s="31" t="n">
        <x:v>180</x:v>
      </x:c>
      <x:c r="I9" s="37" t="n">
        <x:v>20</x:v>
      </x:c>
      <x:c r="J9" s="15" t="str">
        <x:v>N</x:v>
      </x:c>
      <x:c r="K9" s="15" t="n">
        <x:v>5</x:v>
      </x:c>
      <x:c r="L9" s="15" t="n">
        <x:v>8000</x:v>
      </x:c>
      <x:c r="M9" s="16" t="n">
        <x:v>0.18</x:v>
      </x:c>
    </x:row>
    <x:row r="10">
      <x:c r="E10" s="32"/>
      <x:c r="F10" s="32"/>
      <x:c r="G10" s="32"/>
      <x:c r="H10" s="32"/>
      <x:c r="I10" s="38"/>
    </x:row>
    <x:row r="11">
      <x:c r="E11" s="32"/>
      <x:c r="F11" s="32"/>
      <x:c r="G11" s="32"/>
      <x:c r="H11" s="32"/>
      <x:c r="I11" s="38"/>
    </x:row>
    <x:row r="12">
      <x:c r="E12" s="32"/>
      <x:c r="F12" s="32"/>
      <x:c r="G12" s="32"/>
      <x:c r="H12" s="32"/>
      <x:c r="I12" s="38"/>
    </x:row>
    <x:row r="13">
      <x:c r="E13" s="32"/>
      <x:c r="F13" s="32"/>
      <x:c r="G13" s="32"/>
      <x:c r="H13" s="32"/>
      <x:c r="I13" s="38"/>
    </x:row>
    <x:row r="14">
      <x:c r="E14" s="32"/>
      <x:c r="F14" s="32"/>
      <x:c r="G14" s="32"/>
      <x:c r="H14" s="32"/>
      <x:c r="I14" s="38"/>
    </x:row>
    <x:row r="15">
      <x:c r="E15" s="32"/>
      <x:c r="F15" s="32"/>
      <x:c r="G15" s="32"/>
      <x:c r="H15" s="32"/>
      <x:c r="I15" s="38"/>
    </x:row>
    <x:row r="16">
      <x:c r="E16" s="32"/>
      <x:c r="F16" s="32"/>
      <x:c r="G16" s="32"/>
      <x:c r="H16" s="32"/>
      <x:c r="I16" s="38"/>
    </x:row>
    <x:row r="17">
      <x:c r="E17" s="32"/>
      <x:c r="F17" s="32"/>
      <x:c r="G17" s="32"/>
      <x:c r="H17" s="32"/>
      <x:c r="I17" s="38"/>
    </x:row>
    <x:row r="18">
      <x:c r="E18" s="32"/>
      <x:c r="F18" s="32"/>
      <x:c r="G18" s="32"/>
      <x:c r="H18" s="32"/>
      <x:c r="I18" s="38"/>
    </x:row>
    <x:row r="19">
      <x:c r="E19" s="32"/>
      <x:c r="F19" s="32"/>
      <x:c r="G19" s="32"/>
      <x:c r="H19" s="32"/>
      <x:c r="I19" s="38"/>
    </x:row>
    <x:row r="20">
      <x:c r="E20" s="32"/>
      <x:c r="F20" s="32"/>
      <x:c r="G20" s="32"/>
      <x:c r="H20" s="32"/>
      <x:c r="I20" s="38"/>
    </x:row>
  </x:sheetData>
  <x:pageMargins left="0.7" right="0.7" top="0.75" bottom="0.75" header="0.3" footer="0.3"/>
  <x:tableParts count="1">
    <x:tablePart xmlns:r="http://schemas.openxmlformats.org/officeDocument/2006/relationships" r:id="R55800a8a386e42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2" hidden="0" customWidth="1"/>
    <x:col min="5" max="5" width="10" hidden="0" customWidth="1"/>
    <x:col min="6" max="6" width="24" hidden="0" customWidth="1"/>
    <x:col min="7" max="7" width="14" hidden="0" customWidth="1"/>
    <x:col min="8" max="8" width="18" hidden="0" customWidth="1"/>
    <x:col min="9" max="9" width="10" hidden="0" customWidth="1"/>
    <x:col min="10" max="10" width="12" hidden="0" customWidth="1"/>
    <x:col min="11" max="11" width="10" hidden="0" customWidth="1"/>
    <x:col min="12" max="12" width="12" hidden="0" customWidth="1"/>
    <x:col min="13" max="13" width="13" hidden="0" customWidth="1"/>
    <x:col min="14" max="14" width="15" hidden="0" customWidth="1"/>
    <x:col min="15" max="15" width="10" hidden="0" customWidth="1"/>
    <x:col min="16" max="16" width="11" hidden="0" customWidth="1"/>
    <x:col min="17" max="17" width="10" hidden="0" customWidth="1"/>
    <x:col min="18" max="18" width="15" hidden="0" customWidth="1"/>
    <x:col min="19" max="19" width="13" hidden="0" customWidth="1"/>
    <x:col min="20" max="20" width="15" hidden="0" customWidth="1"/>
    <x:col min="21" max="21" width="12" hidden="0" customWidth="1"/>
    <x:col min="22" max="22" width="17" hidden="0" customWidth="1"/>
    <x:col min="23" max="23" width="14" hidden="0" customWidth="1"/>
    <x:col min="24" max="24" width="12" hidden="0" customWidth="1"/>
    <x:col min="25" max="25" width="12" hidden="0" customWidth="1"/>
    <x:col min="26" max="26" width="22" hidden="0" customWidth="1"/>
    <x:col min="27" max="27" width="14" hidden="0" customWidth="1"/>
    <x:col min="28" max="28" width="12" hidden="0" customWidth="1"/>
    <x:col min="29" max="29" width="15" hidden="0" customWidth="1"/>
    <x:col min="30" max="30" width="13" hidden="0" customWidth="1"/>
    <x:col min="31" max="31" width="13" hidden="0" customWidth="1"/>
    <x:col min="32" max="32" width="18" hidden="0" customWidth="1"/>
    <x:col min="33" max="33" width="14" hidden="0" customWidth="1"/>
    <x:col min="34" max="34" width="13" hidden="0" customWidth="1"/>
    <x:col min="35" max="35" width="11" hidden="0" customWidth="1"/>
    <x:col min="36" max="36" width="16" hidden="0" customWidth="1"/>
  </x:cols>
  <x:sheetData>
    <x:row r="1" ht="30" customHeight="1">
      <x:c r="A1" s="9" t="str">
        <x:v>inventory_id</x:v>
      </x:c>
      <x:c r="B1" s="9" t="str">
        <x:v>store_id</x:v>
      </x:c>
      <x:c r="C1" s="9" t="str">
        <x:v>store_name</x:v>
      </x:c>
      <x:c r="D1" s="9" t="str">
        <x:v>region</x:v>
      </x:c>
      <x:c r="E1" s="9" t="str">
        <x:v>product_id</x:v>
      </x:c>
      <x:c r="F1" s="9" t="str">
        <x:v>product_name</x:v>
      </x:c>
      <x:c r="G1" s="9" t="str">
        <x:v>category</x:v>
      </x:c>
      <x:c r="H1" s="9" t="str">
        <x:v>inventory_category</x:v>
      </x:c>
      <x:c r="I1" s="9" t="str">
        <x:v>stock_qty</x:v>
      </x:c>
      <x:c r="J1" s="9" t="str">
        <x:v>current_stock</x:v>
      </x:c>
      <x:c r="K1" s="9" t="str">
        <x:v>quantity</x:v>
      </x:c>
      <x:c r="L1" s="9" t="str">
        <x:v>inventory_qty</x:v>
      </x:c>
      <x:c r="M1" s="9" t="str">
        <x:v>avg_inventory</x:v>
      </x:c>
      <x:c r="N1" s="9" t="str">
        <x:v>avg_daily_sales</x:v>
      </x:c>
      <x:c r="O1" s="9" t="str">
        <x:v>sales_7d</x:v>
      </x:c>
      <x:c r="P1" s="9" t="str">
        <x:v>sales_30d</x:v>
      </x:c>
      <x:c r="Q1" s="9" t="str">
        <x:v>sales_30</x:v>
      </x:c>
      <x:c r="R1" s="9" t="str">
        <x:v>dead_stock_qty</x:v>
      </x:c>
      <x:c r="S1" s="9" t="str">
        <x:v>demand_qty</x:v>
      </x:c>
      <x:c r="T1" s="9" t="str">
        <x:v>days_to_expiry</x:v>
      </x:c>
      <x:c r="U1" s="9" t="str">
        <x:v>expiry_days</x:v>
      </x:c>
      <x:c r="V1" s="9" t="str">
        <x:v>inbound_days_ago</x:v>
      </x:c>
      <x:c r="W1" s="9" t="str">
        <x:v>inbound_days</x:v>
      </x:c>
      <x:c r="X1" s="9" t="str">
        <x:v>unit_cost</x:v>
      </x:c>
      <x:c r="Y1" s="9" t="str">
        <x:v>unit_price</x:v>
      </x:c>
      <x:c r="Z1" s="9" t="str">
        <x:v>disposal_cost_per_unit</x:v>
      </x:c>
      <x:c r="AA1" s="9" t="str">
        <x:v>disposal_cost</x:v>
      </x:c>
      <x:c r="AB1" s="9" t="str">
        <x:v>demand_std</x:v>
      </x:c>
      <x:c r="AC1" s="9" t="str">
        <x:v>lead_time_days</x:v>
      </x:c>
      <x:c r="AD1" s="9" t="str">
        <x:v>order_cost</x:v>
      </x:c>
      <x:c r="AE1" s="9" t="str">
        <x:v>holding_cost</x:v>
      </x:c>
      <x:c r="AF1" s="9" t="str">
        <x:v>daily_holding_cost</x:v>
      </x:c>
      <x:c r="AG1" s="9" t="str">
        <x:v>cold_required</x:v>
      </x:c>
      <x:c r="AH1" s="9" t="str">
        <x:v>service_level</x:v>
      </x:c>
      <x:c r="AI1" s="9" t="str">
        <x:v>capacity</x:v>
      </x:c>
      <x:c r="AJ1" s="9" t="str">
        <x:v>expiry_risk_score</x:v>
      </x:c>
    </x:row>
    <x:row r="2" ht="22" customHeight="1">
      <x:c r="A2" s="4" t="str">
        <x:v>S01-P01</x:v>
      </x:c>
      <x:c r="B2" s="4" t="str">
        <x:v>S01</x:v>
      </x:c>
      <x:c r="C2" s="4" t="str">
        <x:v>연신내점</x:v>
      </x:c>
      <x:c r="D2" s="4" t="str">
        <x:v>은평구</x:v>
      </x:c>
      <x:c r="E2" s="4" t="str">
        <x:v>P01</x:v>
      </x:c>
      <x:c r="F2" s="4" t="str">
        <x:v>냉동만두500g</x:v>
      </x:c>
      <x:c r="G2" s="4" t="str">
        <x:v>냉동식품</x:v>
      </x:c>
      <x:c r="H2" s="4" t="str">
        <x:v>냉동식품</x:v>
      </x:c>
      <x:c r="I2" s="42" t="n">
        <x:v>160</x:v>
      </x:c>
      <x:c r="J2" s="42" t="n">
        <x:v>160</x:v>
      </x:c>
      <x:c r="K2" s="42" t="n">
        <x:v>160</x:v>
      </x:c>
      <x:c r="L2" s="42" t="n">
        <x:v>160</x:v>
      </x:c>
      <x:c r="M2" s="42" t="n">
        <x:v>158</x:v>
      </x:c>
      <x:c r="N2" s="42" t="n">
        <x:v>0.6</x:v>
      </x:c>
      <x:c r="O2" s="42" t="n">
        <x:v>4</x:v>
      </x:c>
      <x:c r="P2" s="42" t="n">
        <x:v>18</x:v>
      </x:c>
      <x:c r="Q2" s="42" t="n">
        <x:v>18</x:v>
      </x:c>
      <x:c r="R2" s="42" t="n">
        <x:v>142</x:v>
      </x:c>
      <x:c r="S2" s="42" t="n">
        <x:v>0</x:v>
      </x:c>
      <x:c r="T2" s="42" t="n">
        <x:v>3</x:v>
      </x:c>
      <x:c r="U2" s="42" t="n">
        <x:v>3</x:v>
      </x:c>
      <x:c r="V2" s="42" t="n">
        <x:v>70</x:v>
      </x:c>
      <x:c r="W2" s="42" t="n">
        <x:v>70</x:v>
      </x:c>
      <x:c r="X2" s="42" t="n">
        <x:v>3800</x:v>
      </x:c>
      <x:c r="Y2" s="42" t="n">
        <x:v>4900</x:v>
      </x:c>
      <x:c r="Z2" s="42" t="n">
        <x:v>650</x:v>
      </x:c>
      <x:c r="AA2" s="42" t="n">
        <x:v>650</x:v>
      </x:c>
      <x:c r="AB2" s="42" t="n">
        <x:v>0.2</x:v>
      </x:c>
      <x:c r="AC2" s="42" t="n">
        <x:v>1</x:v>
      </x:c>
      <x:c r="AD2" s="42" t="n">
        <x:v>12000</x:v>
      </x:c>
      <x:c r="AE2" s="42" t="n">
        <x:v>3.04</x:v>
      </x:c>
      <x:c r="AF2" s="42" t="n">
        <x:v>3.04</x:v>
      </x:c>
      <x:c r="AG2" s="42" t="str">
        <x:v>Y</x:v>
      </x:c>
      <x:c r="AH2" s="42" t="n">
        <x:v>0.95</x:v>
      </x:c>
      <x:c r="AI2" s="42" t="n">
        <x:v>500</x:v>
      </x:c>
      <x:c r="AJ2" s="43" t="n">
        <x:v>94.5</x:v>
      </x:c>
    </x:row>
    <x:row r="3" ht="22" customHeight="1">
      <x:c r="A3" s="4" t="str">
        <x:v>S02-P01</x:v>
      </x:c>
      <x:c r="B3" s="4" t="str">
        <x:v>S02</x:v>
      </x:c>
      <x:c r="C3" s="4" t="str">
        <x:v>불광점</x:v>
      </x:c>
      <x:c r="D3" s="4" t="str">
        <x:v>은평구</x:v>
      </x:c>
      <x:c r="E3" s="4" t="str">
        <x:v>P01</x:v>
      </x:c>
      <x:c r="F3" s="4" t="str">
        <x:v>냉동만두500g</x:v>
      </x:c>
      <x:c r="G3" s="4" t="str">
        <x:v>냉동식품</x:v>
      </x:c>
      <x:c r="H3" s="4" t="str">
        <x:v>냉동식품</x:v>
      </x:c>
      <x:c r="I3" s="42" t="n">
        <x:v>44</x:v>
      </x:c>
      <x:c r="J3" s="42" t="n">
        <x:v>44</x:v>
      </x:c>
      <x:c r="K3" s="42" t="n">
        <x:v>44</x:v>
      </x:c>
      <x:c r="L3" s="42" t="n">
        <x:v>44</x:v>
      </x:c>
      <x:c r="M3" s="42" t="n">
        <x:v>39</x:v>
      </x:c>
      <x:c r="N3" s="42" t="n">
        <x:v>1.47</x:v>
      </x:c>
      <x:c r="O3" s="42" t="n">
        <x:v>10</x:v>
      </x:c>
      <x:c r="P3" s="42" t="n">
        <x:v>44</x:v>
      </x:c>
      <x:c r="Q3" s="42" t="n">
        <x:v>44</x:v>
      </x:c>
      <x:c r="R3" s="42" t="n">
        <x:v>0</x:v>
      </x:c>
      <x:c r="S3" s="42" t="n">
        <x:v>0</x:v>
      </x:c>
      <x:c r="T3" s="42" t="n">
        <x:v>11</x:v>
      </x:c>
      <x:c r="U3" s="42" t="n">
        <x:v>11</x:v>
      </x:c>
      <x:c r="V3" s="42" t="n">
        <x:v>25</x:v>
      </x:c>
      <x:c r="W3" s="42" t="n">
        <x:v>25</x:v>
      </x:c>
      <x:c r="X3" s="42" t="n">
        <x:v>3800</x:v>
      </x:c>
      <x:c r="Y3" s="42" t="n">
        <x:v>4900</x:v>
      </x:c>
      <x:c r="Z3" s="42" t="n">
        <x:v>650</x:v>
      </x:c>
      <x:c r="AA3" s="42" t="n">
        <x:v>650</x:v>
      </x:c>
      <x:c r="AB3" s="42" t="n">
        <x:v>0.44</x:v>
      </x:c>
      <x:c r="AC3" s="42" t="n">
        <x:v>1</x:v>
      </x:c>
      <x:c r="AD3" s="42" t="n">
        <x:v>12000</x:v>
      </x:c>
      <x:c r="AE3" s="42" t="n">
        <x:v>3.04</x:v>
      </x:c>
      <x:c r="AF3" s="42" t="n">
        <x:v>3.04</x:v>
      </x:c>
      <x:c r="AG3" s="42" t="str">
        <x:v>Y</x:v>
      </x:c>
      <x:c r="AH3" s="42" t="n">
        <x:v>0.95</x:v>
      </x:c>
      <x:c r="AI3" s="42" t="n">
        <x:v>500</x:v>
      </x:c>
      <x:c r="AJ3" s="43" t="n">
        <x:v>66.5</x:v>
      </x:c>
    </x:row>
    <x:row r="4" ht="22" customHeight="1">
      <x:c r="A4" s="4" t="str">
        <x:v>S03-P01</x:v>
      </x:c>
      <x:c r="B4" s="4" t="str">
        <x:v>S03</x:v>
      </x:c>
      <x:c r="C4" s="4" t="str">
        <x:v>응암점</x:v>
      </x:c>
      <x:c r="D4" s="4" t="str">
        <x:v>은평구</x:v>
      </x:c>
      <x:c r="E4" s="4" t="str">
        <x:v>P01</x:v>
      </x:c>
      <x:c r="F4" s="4" t="str">
        <x:v>냉동만두500g</x:v>
      </x:c>
      <x:c r="G4" s="4" t="str">
        <x:v>냉동식품</x:v>
      </x:c>
      <x:c r="H4" s="4" t="str">
        <x:v>냉동식품</x:v>
      </x:c>
      <x:c r="I4" s="42" t="n">
        <x:v>46</x:v>
      </x:c>
      <x:c r="J4" s="42" t="n">
        <x:v>46</x:v>
      </x:c>
      <x:c r="K4" s="42" t="n">
        <x:v>46</x:v>
      </x:c>
      <x:c r="L4" s="42" t="n">
        <x:v>46</x:v>
      </x:c>
      <x:c r="M4" s="42" t="n">
        <x:v>41</x:v>
      </x:c>
      <x:c r="N4" s="42" t="n">
        <x:v>1.53</x:v>
      </x:c>
      <x:c r="O4" s="42" t="n">
        <x:v>10</x:v>
      </x:c>
      <x:c r="P4" s="42" t="n">
        <x:v>46</x:v>
      </x:c>
      <x:c r="Q4" s="42" t="n">
        <x:v>46</x:v>
      </x:c>
      <x:c r="R4" s="42" t="n">
        <x:v>0</x:v>
      </x:c>
      <x:c r="S4" s="42" t="n">
        <x:v>0</x:v>
      </x:c>
      <x:c r="T4" s="42" t="n">
        <x:v>11</x:v>
      </x:c>
      <x:c r="U4" s="42" t="n">
        <x:v>11</x:v>
      </x:c>
      <x:c r="V4" s="42" t="n">
        <x:v>25</x:v>
      </x:c>
      <x:c r="W4" s="42" t="n">
        <x:v>25</x:v>
      </x:c>
      <x:c r="X4" s="42" t="n">
        <x:v>3800</x:v>
      </x:c>
      <x:c r="Y4" s="42" t="n">
        <x:v>4900</x:v>
      </x:c>
      <x:c r="Z4" s="42" t="n">
        <x:v>650</x:v>
      </x:c>
      <x:c r="AA4" s="42" t="n">
        <x:v>650</x:v>
      </x:c>
      <x:c r="AB4" s="42" t="n">
        <x:v>0.46</x:v>
      </x:c>
      <x:c r="AC4" s="42" t="n">
        <x:v>1</x:v>
      </x:c>
      <x:c r="AD4" s="42" t="n">
        <x:v>12000</x:v>
      </x:c>
      <x:c r="AE4" s="42" t="n">
        <x:v>3.04</x:v>
      </x:c>
      <x:c r="AF4" s="42" t="n">
        <x:v>3.04</x:v>
      </x:c>
      <x:c r="AG4" s="42" t="str">
        <x:v>Y</x:v>
      </x:c>
      <x:c r="AH4" s="42" t="n">
        <x:v>0.95</x:v>
      </x:c>
      <x:c r="AI4" s="42" t="n">
        <x:v>500</x:v>
      </x:c>
      <x:c r="AJ4" s="43" t="n">
        <x:v>66.5</x:v>
      </x:c>
    </x:row>
    <x:row r="5" ht="22" customHeight="1">
      <x:c r="A5" s="4" t="str">
        <x:v>S04-P01</x:v>
      </x:c>
      <x:c r="B5" s="4" t="str">
        <x:v>S04</x:v>
      </x:c>
      <x:c r="C5" s="4" t="str">
        <x:v>홍제점</x:v>
      </x:c>
      <x:c r="D5" s="4" t="str">
        <x:v>서대문구</x:v>
      </x:c>
      <x:c r="E5" s="4" t="str">
        <x:v>P01</x:v>
      </x:c>
      <x:c r="F5" s="4" t="str">
        <x:v>냉동만두500g</x:v>
      </x:c>
      <x:c r="G5" s="4" t="str">
        <x:v>냉동식품</x:v>
      </x:c>
      <x:c r="H5" s="4" t="str">
        <x:v>냉동식품</x:v>
      </x:c>
      <x:c r="I5" s="42" t="n">
        <x:v>8</x:v>
      </x:c>
      <x:c r="J5" s="42" t="n">
        <x:v>8</x:v>
      </x:c>
      <x:c r="K5" s="42" t="n">
        <x:v>8</x:v>
      </x:c>
      <x:c r="L5" s="42" t="n">
        <x:v>8</x:v>
      </x:c>
      <x:c r="M5" s="42" t="n">
        <x:v>4</x:v>
      </x:c>
      <x:c r="N5" s="42" t="n">
        <x:v>3.17</x:v>
      </x:c>
      <x:c r="O5" s="42" t="n">
        <x:v>23</x:v>
      </x:c>
      <x:c r="P5" s="42" t="n">
        <x:v>95</x:v>
      </x:c>
      <x:c r="Q5" s="42" t="n">
        <x:v>95</x:v>
      </x:c>
      <x:c r="R5" s="42" t="n">
        <x:v>0</x:v>
      </x:c>
      <x:c r="S5" s="42" t="n">
        <x:v>87</x:v>
      </x:c>
      <x:c r="T5" s="42" t="n">
        <x:v>8</x:v>
      </x:c>
      <x:c r="U5" s="42" t="n">
        <x:v>8</x:v>
      </x:c>
      <x:c r="V5" s="42" t="n">
        <x:v>15</x:v>
      </x:c>
      <x:c r="W5" s="42" t="n">
        <x:v>15</x:v>
      </x:c>
      <x:c r="X5" s="42" t="n">
        <x:v>3800</x:v>
      </x:c>
      <x:c r="Y5" s="42" t="n">
        <x:v>4900</x:v>
      </x:c>
      <x:c r="Z5" s="42" t="n">
        <x:v>650</x:v>
      </x:c>
      <x:c r="AA5" s="42" t="n">
        <x:v>650</x:v>
      </x:c>
      <x:c r="AB5" s="42" t="n">
        <x:v>0.95</x:v>
      </x:c>
      <x:c r="AC5" s="42" t="n">
        <x:v>1</x:v>
      </x:c>
      <x:c r="AD5" s="42" t="n">
        <x:v>12000</x:v>
      </x:c>
      <x:c r="AE5" s="42" t="n">
        <x:v>3.04</x:v>
      </x:c>
      <x:c r="AF5" s="42" t="n">
        <x:v>3.04</x:v>
      </x:c>
      <x:c r="AG5" s="42" t="str">
        <x:v>Y</x:v>
      </x:c>
      <x:c r="AH5" s="42" t="n">
        <x:v>0.95</x:v>
      </x:c>
      <x:c r="AI5" s="42" t="n">
        <x:v>500</x:v>
      </x:c>
      <x:c r="AJ5" s="43" t="n">
        <x:v>77</x:v>
      </x:c>
    </x:row>
    <x:row r="6" ht="22" customHeight="1">
      <x:c r="A6" s="4" t="str">
        <x:v>S05-P01</x:v>
      </x:c>
      <x:c r="B6" s="4" t="str">
        <x:v>S05</x:v>
      </x:c>
      <x:c r="C6" s="4" t="str">
        <x:v>신촌점</x:v>
      </x:c>
      <x:c r="D6" s="4" t="str">
        <x:v>서대문구</x:v>
      </x:c>
      <x:c r="E6" s="4" t="str">
        <x:v>P01</x:v>
      </x:c>
      <x:c r="F6" s="4" t="str">
        <x:v>냉동만두500g</x:v>
      </x:c>
      <x:c r="G6" s="4" t="str">
        <x:v>냉동식품</x:v>
      </x:c>
      <x:c r="H6" s="4" t="str">
        <x:v>냉동식품</x:v>
      </x:c>
      <x:c r="I6" s="42" t="n">
        <x:v>40</x:v>
      </x:c>
      <x:c r="J6" s="42" t="n">
        <x:v>40</x:v>
      </x:c>
      <x:c r="K6" s="42" t="n">
        <x:v>40</x:v>
      </x:c>
      <x:c r="L6" s="42" t="n">
        <x:v>40</x:v>
      </x:c>
      <x:c r="M6" s="42" t="n">
        <x:v>35.5</x:v>
      </x:c>
      <x:c r="N6" s="42" t="n">
        <x:v>1.33</x:v>
      </x:c>
      <x:c r="O6" s="42" t="n">
        <x:v>9</x:v>
      </x:c>
      <x:c r="P6" s="42" t="n">
        <x:v>40</x:v>
      </x:c>
      <x:c r="Q6" s="42" t="n">
        <x:v>40</x:v>
      </x:c>
      <x:c r="R6" s="42" t="n">
        <x:v>0</x:v>
      </x:c>
      <x:c r="S6" s="42" t="n">
        <x:v>0</x:v>
      </x:c>
      <x:c r="T6" s="42" t="n">
        <x:v>11</x:v>
      </x:c>
      <x:c r="U6" s="42" t="n">
        <x:v>11</x:v>
      </x:c>
      <x:c r="V6" s="42" t="n">
        <x:v>25</x:v>
      </x:c>
      <x:c r="W6" s="42" t="n">
        <x:v>25</x:v>
      </x:c>
      <x:c r="X6" s="42" t="n">
        <x:v>3800</x:v>
      </x:c>
      <x:c r="Y6" s="42" t="n">
        <x:v>4900</x:v>
      </x:c>
      <x:c r="Z6" s="42" t="n">
        <x:v>650</x:v>
      </x:c>
      <x:c r="AA6" s="42" t="n">
        <x:v>650</x:v>
      </x:c>
      <x:c r="AB6" s="42" t="n">
        <x:v>0.4</x:v>
      </x:c>
      <x:c r="AC6" s="42" t="n">
        <x:v>1</x:v>
      </x:c>
      <x:c r="AD6" s="42" t="n">
        <x:v>12000</x:v>
      </x:c>
      <x:c r="AE6" s="42" t="n">
        <x:v>3.04</x:v>
      </x:c>
      <x:c r="AF6" s="42" t="n">
        <x:v>3.04</x:v>
      </x:c>
      <x:c r="AG6" s="42" t="str">
        <x:v>Y</x:v>
      </x:c>
      <x:c r="AH6" s="42" t="n">
        <x:v>0.95</x:v>
      </x:c>
      <x:c r="AI6" s="42" t="n">
        <x:v>500</x:v>
      </x:c>
      <x:c r="AJ6" s="43" t="n">
        <x:v>66.5</x:v>
      </x:c>
    </x:row>
    <x:row r="7" ht="22" customHeight="1">
      <x:c r="A7" s="4" t="str">
        <x:v>S06-P01</x:v>
      </x:c>
      <x:c r="B7" s="4" t="str">
        <x:v>S06</x:v>
      </x:c>
      <x:c r="C7" s="4" t="str">
        <x:v>마포점</x:v>
      </x:c>
      <x:c r="D7" s="4" t="str">
        <x:v>마포구</x:v>
      </x:c>
      <x:c r="E7" s="4" t="str">
        <x:v>P01</x:v>
      </x:c>
      <x:c r="F7" s="4" t="str">
        <x:v>냉동만두500g</x:v>
      </x:c>
      <x:c r="G7" s="4" t="str">
        <x:v>냉동식품</x:v>
      </x:c>
      <x:c r="H7" s="4" t="str">
        <x:v>냉동식품</x:v>
      </x:c>
      <x:c r="I7" s="42" t="n">
        <x:v>42</x:v>
      </x:c>
      <x:c r="J7" s="42" t="n">
        <x:v>42</x:v>
      </x:c>
      <x:c r="K7" s="42" t="n">
        <x:v>42</x:v>
      </x:c>
      <x:c r="L7" s="42" t="n">
        <x:v>42</x:v>
      </x:c>
      <x:c r="M7" s="42" t="n">
        <x:v>37.5</x:v>
      </x:c>
      <x:c r="N7" s="42" t="n">
        <x:v>1.4</x:v>
      </x:c>
      <x:c r="O7" s="42" t="n">
        <x:v>9</x:v>
      </x:c>
      <x:c r="P7" s="42" t="n">
        <x:v>42</x:v>
      </x:c>
      <x:c r="Q7" s="42" t="n">
        <x:v>42</x:v>
      </x:c>
      <x:c r="R7" s="42" t="n">
        <x:v>0</x:v>
      </x:c>
      <x:c r="S7" s="42" t="n">
        <x:v>0</x:v>
      </x:c>
      <x:c r="T7" s="42" t="n">
        <x:v>11</x:v>
      </x:c>
      <x:c r="U7" s="42" t="n">
        <x:v>11</x:v>
      </x:c>
      <x:c r="V7" s="42" t="n">
        <x:v>25</x:v>
      </x:c>
      <x:c r="W7" s="42" t="n">
        <x:v>25</x:v>
      </x:c>
      <x:c r="X7" s="42" t="n">
        <x:v>3800</x:v>
      </x:c>
      <x:c r="Y7" s="42" t="n">
        <x:v>4900</x:v>
      </x:c>
      <x:c r="Z7" s="42" t="n">
        <x:v>650</x:v>
      </x:c>
      <x:c r="AA7" s="42" t="n">
        <x:v>650</x:v>
      </x:c>
      <x:c r="AB7" s="42" t="n">
        <x:v>0.42</x:v>
      </x:c>
      <x:c r="AC7" s="42" t="n">
        <x:v>1</x:v>
      </x:c>
      <x:c r="AD7" s="42" t="n">
        <x:v>12000</x:v>
      </x:c>
      <x:c r="AE7" s="42" t="n">
        <x:v>3.04</x:v>
      </x:c>
      <x:c r="AF7" s="42" t="n">
        <x:v>3.04</x:v>
      </x:c>
      <x:c r="AG7" s="42" t="str">
        <x:v>Y</x:v>
      </x:c>
      <x:c r="AH7" s="42" t="n">
        <x:v>0.95</x:v>
      </x:c>
      <x:c r="AI7" s="42" t="n">
        <x:v>500</x:v>
      </x:c>
      <x:c r="AJ7" s="43" t="n">
        <x:v>66.5</x:v>
      </x:c>
    </x:row>
    <x:row r="8" ht="22" customHeight="1">
      <x:c r="A8" s="4" t="str">
        <x:v>S07-P01</x:v>
      </x:c>
      <x:c r="B8" s="4" t="str">
        <x:v>S07</x:v>
      </x:c>
      <x:c r="C8" s="4" t="str">
        <x:v>종로점</x:v>
      </x:c>
      <x:c r="D8" s="4" t="str">
        <x:v>종로구</x:v>
      </x:c>
      <x:c r="E8" s="4" t="str">
        <x:v>P01</x:v>
      </x:c>
      <x:c r="F8" s="4" t="str">
        <x:v>냉동만두500g</x:v>
      </x:c>
      <x:c r="G8" s="4" t="str">
        <x:v>냉동식품</x:v>
      </x:c>
      <x:c r="H8" s="4" t="str">
        <x:v>냉동식품</x:v>
      </x:c>
      <x:c r="I8" s="42" t="n">
        <x:v>44</x:v>
      </x:c>
      <x:c r="J8" s="42" t="n">
        <x:v>44</x:v>
      </x:c>
      <x:c r="K8" s="42" t="n">
        <x:v>44</x:v>
      </x:c>
      <x:c r="L8" s="42" t="n">
        <x:v>44</x:v>
      </x:c>
      <x:c r="M8" s="42" t="n">
        <x:v>39</x:v>
      </x:c>
      <x:c r="N8" s="42" t="n">
        <x:v>1.47</x:v>
      </x:c>
      <x:c r="O8" s="42" t="n">
        <x:v>10</x:v>
      </x:c>
      <x:c r="P8" s="42" t="n">
        <x:v>44</x:v>
      </x:c>
      <x:c r="Q8" s="42" t="n">
        <x:v>44</x:v>
      </x:c>
      <x:c r="R8" s="42" t="n">
        <x:v>0</x:v>
      </x:c>
      <x:c r="S8" s="42" t="n">
        <x:v>0</x:v>
      </x:c>
      <x:c r="T8" s="42" t="n">
        <x:v>11</x:v>
      </x:c>
      <x:c r="U8" s="42" t="n">
        <x:v>11</x:v>
      </x:c>
      <x:c r="V8" s="42" t="n">
        <x:v>25</x:v>
      </x:c>
      <x:c r="W8" s="42" t="n">
        <x:v>25</x:v>
      </x:c>
      <x:c r="X8" s="42" t="n">
        <x:v>3800</x:v>
      </x:c>
      <x:c r="Y8" s="42" t="n">
        <x:v>4900</x:v>
      </x:c>
      <x:c r="Z8" s="42" t="n">
        <x:v>650</x:v>
      </x:c>
      <x:c r="AA8" s="42" t="n">
        <x:v>650</x:v>
      </x:c>
      <x:c r="AB8" s="42" t="n">
        <x:v>0.44</x:v>
      </x:c>
      <x:c r="AC8" s="42" t="n">
        <x:v>1</x:v>
      </x:c>
      <x:c r="AD8" s="42" t="n">
        <x:v>12000</x:v>
      </x:c>
      <x:c r="AE8" s="42" t="n">
        <x:v>3.04</x:v>
      </x:c>
      <x:c r="AF8" s="42" t="n">
        <x:v>3.04</x:v>
      </x:c>
      <x:c r="AG8" s="42" t="str">
        <x:v>Y</x:v>
      </x:c>
      <x:c r="AH8" s="42" t="n">
        <x:v>0.95</x:v>
      </x:c>
      <x:c r="AI8" s="42" t="n">
        <x:v>500</x:v>
      </x:c>
      <x:c r="AJ8" s="43" t="n">
        <x:v>66.5</x:v>
      </x:c>
    </x:row>
    <x:row r="9" ht="22" customHeight="1">
      <x:c r="A9" s="4" t="str">
        <x:v>S08-P01</x:v>
      </x:c>
      <x:c r="B9" s="4" t="str">
        <x:v>S08</x:v>
      </x:c>
      <x:c r="C9" s="4" t="str">
        <x:v>용산점</x:v>
      </x:c>
      <x:c r="D9" s="4" t="str">
        <x:v>용산구</x:v>
      </x:c>
      <x:c r="E9" s="4" t="str">
        <x:v>P01</x:v>
      </x:c>
      <x:c r="F9" s="4" t="str">
        <x:v>냉동만두500g</x:v>
      </x:c>
      <x:c r="G9" s="4" t="str">
        <x:v>냉동식품</x:v>
      </x:c>
      <x:c r="H9" s="4" t="str">
        <x:v>냉동식품</x:v>
      </x:c>
      <x:c r="I9" s="42" t="n">
        <x:v>46</x:v>
      </x:c>
      <x:c r="J9" s="42" t="n">
        <x:v>46</x:v>
      </x:c>
      <x:c r="K9" s="42" t="n">
        <x:v>46</x:v>
      </x:c>
      <x:c r="L9" s="42" t="n">
        <x:v>46</x:v>
      </x:c>
      <x:c r="M9" s="42" t="n">
        <x:v>41</x:v>
      </x:c>
      <x:c r="N9" s="42" t="n">
        <x:v>1.53</x:v>
      </x:c>
      <x:c r="O9" s="42" t="n">
        <x:v>10</x:v>
      </x:c>
      <x:c r="P9" s="42" t="n">
        <x:v>46</x:v>
      </x:c>
      <x:c r="Q9" s="42" t="n">
        <x:v>46</x:v>
      </x:c>
      <x:c r="R9" s="42" t="n">
        <x:v>0</x:v>
      </x:c>
      <x:c r="S9" s="42" t="n">
        <x:v>0</x:v>
      </x:c>
      <x:c r="T9" s="42" t="n">
        <x:v>11</x:v>
      </x:c>
      <x:c r="U9" s="42" t="n">
        <x:v>11</x:v>
      </x:c>
      <x:c r="V9" s="42" t="n">
        <x:v>25</x:v>
      </x:c>
      <x:c r="W9" s="42" t="n">
        <x:v>25</x:v>
      </x:c>
      <x:c r="X9" s="42" t="n">
        <x:v>3800</x:v>
      </x:c>
      <x:c r="Y9" s="42" t="n">
        <x:v>4900</x:v>
      </x:c>
      <x:c r="Z9" s="42" t="n">
        <x:v>650</x:v>
      </x:c>
      <x:c r="AA9" s="42" t="n">
        <x:v>650</x:v>
      </x:c>
      <x:c r="AB9" s="42" t="n">
        <x:v>0.46</x:v>
      </x:c>
      <x:c r="AC9" s="42" t="n">
        <x:v>1</x:v>
      </x:c>
      <x:c r="AD9" s="42" t="n">
        <x:v>12000</x:v>
      </x:c>
      <x:c r="AE9" s="42" t="n">
        <x:v>3.04</x:v>
      </x:c>
      <x:c r="AF9" s="42" t="n">
        <x:v>3.04</x:v>
      </x:c>
      <x:c r="AG9" s="42" t="str">
        <x:v>Y</x:v>
      </x:c>
      <x:c r="AH9" s="42" t="n">
        <x:v>0.95</x:v>
      </x:c>
      <x:c r="AI9" s="42" t="n">
        <x:v>500</x:v>
      </x:c>
      <x:c r="AJ9" s="43" t="n">
        <x:v>66.5</x:v>
      </x:c>
    </x:row>
    <x:row r="10" ht="22" customHeight="1">
      <x:c r="A10" s="4" t="str">
        <x:v>S09-P01</x:v>
      </x:c>
      <x:c r="B10" s="4" t="str">
        <x:v>S09</x:v>
      </x:c>
      <x:c r="C10" s="4" t="str">
        <x:v>상암점</x:v>
      </x:c>
      <x:c r="D10" s="4" t="str">
        <x:v>마포구</x:v>
      </x:c>
      <x:c r="E10" s="4" t="str">
        <x:v>P01</x:v>
      </x:c>
      <x:c r="F10" s="4" t="str">
        <x:v>냉동만두500g</x:v>
      </x:c>
      <x:c r="G10" s="4" t="str">
        <x:v>냉동식품</x:v>
      </x:c>
      <x:c r="H10" s="4" t="str">
        <x:v>냉동식품</x:v>
      </x:c>
      <x:c r="I10" s="42" t="n">
        <x:v>48</x:v>
      </x:c>
      <x:c r="J10" s="42" t="n">
        <x:v>48</x:v>
      </x:c>
      <x:c r="K10" s="42" t="n">
        <x:v>48</x:v>
      </x:c>
      <x:c r="L10" s="42" t="n">
        <x:v>48</x:v>
      </x:c>
      <x:c r="M10" s="42" t="n">
        <x:v>42.5</x:v>
      </x:c>
      <x:c r="N10" s="42" t="n">
        <x:v>1.6</x:v>
      </x:c>
      <x:c r="O10" s="42" t="n">
        <x:v>11</x:v>
      </x:c>
      <x:c r="P10" s="42" t="n">
        <x:v>48</x:v>
      </x:c>
      <x:c r="Q10" s="42" t="n">
        <x:v>48</x:v>
      </x:c>
      <x:c r="R10" s="42" t="n">
        <x:v>0</x:v>
      </x:c>
      <x:c r="S10" s="42" t="n">
        <x:v>0</x:v>
      </x:c>
      <x:c r="T10" s="42" t="n">
        <x:v>11</x:v>
      </x:c>
      <x:c r="U10" s="42" t="n">
        <x:v>11</x:v>
      </x:c>
      <x:c r="V10" s="42" t="n">
        <x:v>25</x:v>
      </x:c>
      <x:c r="W10" s="42" t="n">
        <x:v>25</x:v>
      </x:c>
      <x:c r="X10" s="42" t="n">
        <x:v>3800</x:v>
      </x:c>
      <x:c r="Y10" s="42" t="n">
        <x:v>4900</x:v>
      </x:c>
      <x:c r="Z10" s="42" t="n">
        <x:v>650</x:v>
      </x:c>
      <x:c r="AA10" s="42" t="n">
        <x:v>650</x:v>
      </x:c>
      <x:c r="AB10" s="42" t="n">
        <x:v>0.48</x:v>
      </x:c>
      <x:c r="AC10" s="42" t="n">
        <x:v>1</x:v>
      </x:c>
      <x:c r="AD10" s="42" t="n">
        <x:v>12000</x:v>
      </x:c>
      <x:c r="AE10" s="42" t="n">
        <x:v>3.04</x:v>
      </x:c>
      <x:c r="AF10" s="42" t="n">
        <x:v>3.04</x:v>
      </x:c>
      <x:c r="AG10" s="42" t="str">
        <x:v>Y</x:v>
      </x:c>
      <x:c r="AH10" s="42" t="n">
        <x:v>0.95</x:v>
      </x:c>
      <x:c r="AI10" s="42" t="n">
        <x:v>500</x:v>
      </x:c>
      <x:c r="AJ10" s="43" t="n">
        <x:v>66.5</x:v>
      </x:c>
    </x:row>
    <x:row r="11" ht="22" customHeight="1">
      <x:c r="A11" s="4" t="str">
        <x:v>S10-P01</x:v>
      </x:c>
      <x:c r="B11" s="4" t="str">
        <x:v>S10</x:v>
      </x:c>
      <x:c r="C11" s="4" t="str">
        <x:v>구파발점</x:v>
      </x:c>
      <x:c r="D11" s="4" t="str">
        <x:v>은평구</x:v>
      </x:c>
      <x:c r="E11" s="4" t="str">
        <x:v>P01</x:v>
      </x:c>
      <x:c r="F11" s="4" t="str">
        <x:v>냉동만두500g</x:v>
      </x:c>
      <x:c r="G11" s="4" t="str">
        <x:v>냉동식품</x:v>
      </x:c>
      <x:c r="H11" s="4" t="str">
        <x:v>냉동식품</x:v>
      </x:c>
      <x:c r="I11" s="42" t="n">
        <x:v>40</x:v>
      </x:c>
      <x:c r="J11" s="42" t="n">
        <x:v>40</x:v>
      </x:c>
      <x:c r="K11" s="42" t="n">
        <x:v>40</x:v>
      </x:c>
      <x:c r="L11" s="42" t="n">
        <x:v>40</x:v>
      </x:c>
      <x:c r="M11" s="42" t="n">
        <x:v>35.5</x:v>
      </x:c>
      <x:c r="N11" s="42" t="n">
        <x:v>1.33</x:v>
      </x:c>
      <x:c r="O11" s="42" t="n">
        <x:v>9</x:v>
      </x:c>
      <x:c r="P11" s="42" t="n">
        <x:v>40</x:v>
      </x:c>
      <x:c r="Q11" s="42" t="n">
        <x:v>40</x:v>
      </x:c>
      <x:c r="R11" s="42" t="n">
        <x:v>0</x:v>
      </x:c>
      <x:c r="S11" s="42" t="n">
        <x:v>0</x:v>
      </x:c>
      <x:c r="T11" s="42" t="n">
        <x:v>11</x:v>
      </x:c>
      <x:c r="U11" s="42" t="n">
        <x:v>11</x:v>
      </x:c>
      <x:c r="V11" s="42" t="n">
        <x:v>25</x:v>
      </x:c>
      <x:c r="W11" s="42" t="n">
        <x:v>25</x:v>
      </x:c>
      <x:c r="X11" s="42" t="n">
        <x:v>3800</x:v>
      </x:c>
      <x:c r="Y11" s="42" t="n">
        <x:v>4900</x:v>
      </x:c>
      <x:c r="Z11" s="42" t="n">
        <x:v>650</x:v>
      </x:c>
      <x:c r="AA11" s="42" t="n">
        <x:v>650</x:v>
      </x:c>
      <x:c r="AB11" s="42" t="n">
        <x:v>0.4</x:v>
      </x:c>
      <x:c r="AC11" s="42" t="n">
        <x:v>1</x:v>
      </x:c>
      <x:c r="AD11" s="42" t="n">
        <x:v>12000</x:v>
      </x:c>
      <x:c r="AE11" s="42" t="n">
        <x:v>3.04</x:v>
      </x:c>
      <x:c r="AF11" s="42" t="n">
        <x:v>3.04</x:v>
      </x:c>
      <x:c r="AG11" s="42" t="str">
        <x:v>Y</x:v>
      </x:c>
      <x:c r="AH11" s="42" t="n">
        <x:v>0.95</x:v>
      </x:c>
      <x:c r="AI11" s="42" t="n">
        <x:v>500</x:v>
      </x:c>
      <x:c r="AJ11" s="43" t="n">
        <x:v>66.5</x:v>
      </x:c>
    </x:row>
    <x:row r="12" ht="22" customHeight="1">
      <x:c r="A12" s="4" t="str">
        <x:v>S01-P02</x:v>
      </x:c>
      <x:c r="B12" s="4" t="str">
        <x:v>S01</x:v>
      </x:c>
      <x:c r="C12" s="4" t="str">
        <x:v>연신내점</x:v>
      </x:c>
      <x:c r="D12" s="4" t="str">
        <x:v>은평구</x:v>
      </x:c>
      <x:c r="E12" s="4" t="str">
        <x:v>P02</x:v>
      </x:c>
      <x:c r="F12" s="4" t="str">
        <x:v>유어스샐러드랩</x:v>
      </x:c>
      <x:c r="G12" s="4" t="str">
        <x:v>신선식품</x:v>
      </x:c>
      <x:c r="H12" s="4" t="str">
        <x:v>신선식품</x:v>
      </x:c>
      <x:c r="I12" s="42" t="n">
        <x:v>42</x:v>
      </x:c>
      <x:c r="J12" s="42" t="n">
        <x:v>42</x:v>
      </x:c>
      <x:c r="K12" s="42" t="n">
        <x:v>42</x:v>
      </x:c>
      <x:c r="L12" s="42" t="n">
        <x:v>42</x:v>
      </x:c>
      <x:c r="M12" s="42" t="n">
        <x:v>37.5</x:v>
      </x:c>
      <x:c r="N12" s="42" t="n">
        <x:v>1.4</x:v>
      </x:c>
      <x:c r="O12" s="42" t="n">
        <x:v>9</x:v>
      </x:c>
      <x:c r="P12" s="42" t="n">
        <x:v>42</x:v>
      </x:c>
      <x:c r="Q12" s="42" t="n">
        <x:v>42</x:v>
      </x:c>
      <x:c r="R12" s="42" t="n">
        <x:v>0</x:v>
      </x:c>
      <x:c r="S12" s="42" t="n">
        <x:v>0</x:v>
      </x:c>
      <x:c r="T12" s="42" t="n">
        <x:v>10</x:v>
      </x:c>
      <x:c r="U12" s="42" t="n">
        <x:v>10</x:v>
      </x:c>
      <x:c r="V12" s="42" t="n">
        <x:v>25</x:v>
      </x:c>
      <x:c r="W12" s="42" t="n">
        <x:v>25</x:v>
      </x:c>
      <x:c r="X12" s="42" t="n">
        <x:v>2450</x:v>
      </x:c>
      <x:c r="Y12" s="42" t="n">
        <x:v>3300</x:v>
      </x:c>
      <x:c r="Z12" s="42" t="n">
        <x:v>500</x:v>
      </x:c>
      <x:c r="AA12" s="42" t="n">
        <x:v>500</x:v>
      </x:c>
      <x:c r="AB12" s="42" t="n">
        <x:v>0.42</x:v>
      </x:c>
      <x:c r="AC12" s="42" t="n">
        <x:v>2</x:v>
      </x:c>
      <x:c r="AD12" s="42" t="n">
        <x:v>12000</x:v>
      </x:c>
      <x:c r="AE12" s="42" t="n">
        <x:v>1.96</x:v>
      </x:c>
      <x:c r="AF12" s="42" t="n">
        <x:v>1.96</x:v>
      </x:c>
      <x:c r="AG12" s="42" t="str">
        <x:v>Y</x:v>
      </x:c>
      <x:c r="AH12" s="42" t="n">
        <x:v>0.95</x:v>
      </x:c>
      <x:c r="AI12" s="42" t="n">
        <x:v>500</x:v>
      </x:c>
      <x:c r="AJ12" s="43" t="n">
        <x:v>70</x:v>
      </x:c>
    </x:row>
    <x:row r="13" ht="22" customHeight="1">
      <x:c r="A13" s="4" t="str">
        <x:v>S02-P02</x:v>
      </x:c>
      <x:c r="B13" s="4" t="str">
        <x:v>S02</x:v>
      </x:c>
      <x:c r="C13" s="4" t="str">
        <x:v>불광점</x:v>
      </x:c>
      <x:c r="D13" s="4" t="str">
        <x:v>은평구</x:v>
      </x:c>
      <x:c r="E13" s="4" t="str">
        <x:v>P02</x:v>
      </x:c>
      <x:c r="F13" s="4" t="str">
        <x:v>유어스샐러드랩</x:v>
      </x:c>
      <x:c r="G13" s="4" t="str">
        <x:v>신선식품</x:v>
      </x:c>
      <x:c r="H13" s="4" t="str">
        <x:v>신선식품</x:v>
      </x:c>
      <x:c r="I13" s="42" t="n">
        <x:v>145</x:v>
      </x:c>
      <x:c r="J13" s="42" t="n">
        <x:v>145</x:v>
      </x:c>
      <x:c r="K13" s="42" t="n">
        <x:v>145</x:v>
      </x:c>
      <x:c r="L13" s="42" t="n">
        <x:v>145</x:v>
      </x:c>
      <x:c r="M13" s="42" t="n">
        <x:v>143</x:v>
      </x:c>
      <x:c r="N13" s="42" t="n">
        <x:v>0.67</x:v>
      </x:c>
      <x:c r="O13" s="42" t="n">
        <x:v>4</x:v>
      </x:c>
      <x:c r="P13" s="42" t="n">
        <x:v>20</x:v>
      </x:c>
      <x:c r="Q13" s="42" t="n">
        <x:v>20</x:v>
      </x:c>
      <x:c r="R13" s="42" t="n">
        <x:v>125</x:v>
      </x:c>
      <x:c r="S13" s="42" t="n">
        <x:v>0</x:v>
      </x:c>
      <x:c r="T13" s="42" t="n">
        <x:v>2</x:v>
      </x:c>
      <x:c r="U13" s="42" t="n">
        <x:v>2</x:v>
      </x:c>
      <x:c r="V13" s="42" t="n">
        <x:v>70</x:v>
      </x:c>
      <x:c r="W13" s="42" t="n">
        <x:v>70</x:v>
      </x:c>
      <x:c r="X13" s="42" t="n">
        <x:v>2450</x:v>
      </x:c>
      <x:c r="Y13" s="42" t="n">
        <x:v>3300</x:v>
      </x:c>
      <x:c r="Z13" s="42" t="n">
        <x:v>500</x:v>
      </x:c>
      <x:c r="AA13" s="42" t="n">
        <x:v>500</x:v>
      </x:c>
      <x:c r="AB13" s="42" t="n">
        <x:v>0.2</x:v>
      </x:c>
      <x:c r="AC13" s="42" t="n">
        <x:v>2</x:v>
      </x:c>
      <x:c r="AD13" s="42" t="n">
        <x:v>12000</x:v>
      </x:c>
      <x:c r="AE13" s="42" t="n">
        <x:v>1.96</x:v>
      </x:c>
      <x:c r="AF13" s="42" t="n">
        <x:v>1.96</x:v>
      </x:c>
      <x:c r="AG13" s="42" t="str">
        <x:v>Y</x:v>
      </x:c>
      <x:c r="AH13" s="42" t="n">
        <x:v>0.95</x:v>
      </x:c>
      <x:c r="AI13" s="42" t="n">
        <x:v>500</x:v>
      </x:c>
      <x:c r="AJ13" s="43" t="n">
        <x:v>98</x:v>
      </x:c>
    </x:row>
    <x:row r="14" ht="22" customHeight="1">
      <x:c r="A14" s="4" t="str">
        <x:v>S03-P02</x:v>
      </x:c>
      <x:c r="B14" s="4" t="str">
        <x:v>S03</x:v>
      </x:c>
      <x:c r="C14" s="4" t="str">
        <x:v>응암점</x:v>
      </x:c>
      <x:c r="D14" s="4" t="str">
        <x:v>은평구</x:v>
      </x:c>
      <x:c r="E14" s="4" t="str">
        <x:v>P02</x:v>
      </x:c>
      <x:c r="F14" s="4" t="str">
        <x:v>유어스샐러드랩</x:v>
      </x:c>
      <x:c r="G14" s="4" t="str">
        <x:v>신선식품</x:v>
      </x:c>
      <x:c r="H14" s="4" t="str">
        <x:v>신선식품</x:v>
      </x:c>
      <x:c r="I14" s="42" t="n">
        <x:v>46</x:v>
      </x:c>
      <x:c r="J14" s="42" t="n">
        <x:v>46</x:v>
      </x:c>
      <x:c r="K14" s="42" t="n">
        <x:v>46</x:v>
      </x:c>
      <x:c r="L14" s="42" t="n">
        <x:v>46</x:v>
      </x:c>
      <x:c r="M14" s="42" t="n">
        <x:v>41</x:v>
      </x:c>
      <x:c r="N14" s="42" t="n">
        <x:v>1.53</x:v>
      </x:c>
      <x:c r="O14" s="42" t="n">
        <x:v>10</x:v>
      </x:c>
      <x:c r="P14" s="42" t="n">
        <x:v>46</x:v>
      </x:c>
      <x:c r="Q14" s="42" t="n">
        <x:v>46</x:v>
      </x:c>
      <x:c r="R14" s="42" t="n">
        <x:v>0</x:v>
      </x:c>
      <x:c r="S14" s="42" t="n">
        <x:v>0</x:v>
      </x:c>
      <x:c r="T14" s="42" t="n">
        <x:v>10</x:v>
      </x:c>
      <x:c r="U14" s="42" t="n">
        <x:v>10</x:v>
      </x:c>
      <x:c r="V14" s="42" t="n">
        <x:v>25</x:v>
      </x:c>
      <x:c r="W14" s="42" t="n">
        <x:v>25</x:v>
      </x:c>
      <x:c r="X14" s="42" t="n">
        <x:v>2450</x:v>
      </x:c>
      <x:c r="Y14" s="42" t="n">
        <x:v>3300</x:v>
      </x:c>
      <x:c r="Z14" s="42" t="n">
        <x:v>500</x:v>
      </x:c>
      <x:c r="AA14" s="42" t="n">
        <x:v>500</x:v>
      </x:c>
      <x:c r="AB14" s="42" t="n">
        <x:v>0.46</x:v>
      </x:c>
      <x:c r="AC14" s="42" t="n">
        <x:v>2</x:v>
      </x:c>
      <x:c r="AD14" s="42" t="n">
        <x:v>12000</x:v>
      </x:c>
      <x:c r="AE14" s="42" t="n">
        <x:v>1.96</x:v>
      </x:c>
      <x:c r="AF14" s="42" t="n">
        <x:v>1.96</x:v>
      </x:c>
      <x:c r="AG14" s="42" t="str">
        <x:v>Y</x:v>
      </x:c>
      <x:c r="AH14" s="42" t="n">
        <x:v>0.95</x:v>
      </x:c>
      <x:c r="AI14" s="42" t="n">
        <x:v>500</x:v>
      </x:c>
      <x:c r="AJ14" s="43" t="n">
        <x:v>70</x:v>
      </x:c>
    </x:row>
    <x:row r="15" ht="22" customHeight="1">
      <x:c r="A15" s="4" t="str">
        <x:v>S04-P02</x:v>
      </x:c>
      <x:c r="B15" s="4" t="str">
        <x:v>S04</x:v>
      </x:c>
      <x:c r="C15" s="4" t="str">
        <x:v>홍제점</x:v>
      </x:c>
      <x:c r="D15" s="4" t="str">
        <x:v>서대문구</x:v>
      </x:c>
      <x:c r="E15" s="4" t="str">
        <x:v>P02</x:v>
      </x:c>
      <x:c r="F15" s="4" t="str">
        <x:v>유어스샐러드랩</x:v>
      </x:c>
      <x:c r="G15" s="4" t="str">
        <x:v>신선식품</x:v>
      </x:c>
      <x:c r="H15" s="4" t="str">
        <x:v>신선식품</x:v>
      </x:c>
      <x:c r="I15" s="42" t="n">
        <x:v>48</x:v>
      </x:c>
      <x:c r="J15" s="42" t="n">
        <x:v>48</x:v>
      </x:c>
      <x:c r="K15" s="42" t="n">
        <x:v>48</x:v>
      </x:c>
      <x:c r="L15" s="42" t="n">
        <x:v>48</x:v>
      </x:c>
      <x:c r="M15" s="42" t="n">
        <x:v>42.5</x:v>
      </x:c>
      <x:c r="N15" s="42" t="n">
        <x:v>1.6</x:v>
      </x:c>
      <x:c r="O15" s="42" t="n">
        <x:v>11</x:v>
      </x:c>
      <x:c r="P15" s="42" t="n">
        <x:v>48</x:v>
      </x:c>
      <x:c r="Q15" s="42" t="n">
        <x:v>48</x:v>
      </x:c>
      <x:c r="R15" s="42" t="n">
        <x:v>0</x:v>
      </x:c>
      <x:c r="S15" s="42" t="n">
        <x:v>0</x:v>
      </x:c>
      <x:c r="T15" s="42" t="n">
        <x:v>10</x:v>
      </x:c>
      <x:c r="U15" s="42" t="n">
        <x:v>10</x:v>
      </x:c>
      <x:c r="V15" s="42" t="n">
        <x:v>25</x:v>
      </x:c>
      <x:c r="W15" s="42" t="n">
        <x:v>25</x:v>
      </x:c>
      <x:c r="X15" s="42" t="n">
        <x:v>2450</x:v>
      </x:c>
      <x:c r="Y15" s="42" t="n">
        <x:v>3300</x:v>
      </x:c>
      <x:c r="Z15" s="42" t="n">
        <x:v>500</x:v>
      </x:c>
      <x:c r="AA15" s="42" t="n">
        <x:v>500</x:v>
      </x:c>
      <x:c r="AB15" s="42" t="n">
        <x:v>0.48</x:v>
      </x:c>
      <x:c r="AC15" s="42" t="n">
        <x:v>2</x:v>
      </x:c>
      <x:c r="AD15" s="42" t="n">
        <x:v>12000</x:v>
      </x:c>
      <x:c r="AE15" s="42" t="n">
        <x:v>1.96</x:v>
      </x:c>
      <x:c r="AF15" s="42" t="n">
        <x:v>1.96</x:v>
      </x:c>
      <x:c r="AG15" s="42" t="str">
        <x:v>Y</x:v>
      </x:c>
      <x:c r="AH15" s="42" t="n">
        <x:v>0.95</x:v>
      </x:c>
      <x:c r="AI15" s="42" t="n">
        <x:v>500</x:v>
      </x:c>
      <x:c r="AJ15" s="43" t="n">
        <x:v>70</x:v>
      </x:c>
    </x:row>
    <x:row r="16" ht="22" customHeight="1">
      <x:c r="A16" s="4" t="str">
        <x:v>S05-P02</x:v>
      </x:c>
      <x:c r="B16" s="4" t="str">
        <x:v>S05</x:v>
      </x:c>
      <x:c r="C16" s="4" t="str">
        <x:v>신촌점</x:v>
      </x:c>
      <x:c r="D16" s="4" t="str">
        <x:v>서대문구</x:v>
      </x:c>
      <x:c r="E16" s="4" t="str">
        <x:v>P02</x:v>
      </x:c>
      <x:c r="F16" s="4" t="str">
        <x:v>유어스샐러드랩</x:v>
      </x:c>
      <x:c r="G16" s="4" t="str">
        <x:v>신선식품</x:v>
      </x:c>
      <x:c r="H16" s="4" t="str">
        <x:v>신선식품</x:v>
      </x:c>
      <x:c r="I16" s="42" t="n">
        <x:v>40</x:v>
      </x:c>
      <x:c r="J16" s="42" t="n">
        <x:v>40</x:v>
      </x:c>
      <x:c r="K16" s="42" t="n">
        <x:v>40</x:v>
      </x:c>
      <x:c r="L16" s="42" t="n">
        <x:v>40</x:v>
      </x:c>
      <x:c r="M16" s="42" t="n">
        <x:v>35.5</x:v>
      </x:c>
      <x:c r="N16" s="42" t="n">
        <x:v>1.33</x:v>
      </x:c>
      <x:c r="O16" s="42" t="n">
        <x:v>9</x:v>
      </x:c>
      <x:c r="P16" s="42" t="n">
        <x:v>40</x:v>
      </x:c>
      <x:c r="Q16" s="42" t="n">
        <x:v>40</x:v>
      </x:c>
      <x:c r="R16" s="42" t="n">
        <x:v>0</x:v>
      </x:c>
      <x:c r="S16" s="42" t="n">
        <x:v>0</x:v>
      </x:c>
      <x:c r="T16" s="42" t="n">
        <x:v>10</x:v>
      </x:c>
      <x:c r="U16" s="42" t="n">
        <x:v>10</x:v>
      </x:c>
      <x:c r="V16" s="42" t="n">
        <x:v>25</x:v>
      </x:c>
      <x:c r="W16" s="42" t="n">
        <x:v>25</x:v>
      </x:c>
      <x:c r="X16" s="42" t="n">
        <x:v>2450</x:v>
      </x:c>
      <x:c r="Y16" s="42" t="n">
        <x:v>3300</x:v>
      </x:c>
      <x:c r="Z16" s="42" t="n">
        <x:v>500</x:v>
      </x:c>
      <x:c r="AA16" s="42" t="n">
        <x:v>500</x:v>
      </x:c>
      <x:c r="AB16" s="42" t="n">
        <x:v>0.4</x:v>
      </x:c>
      <x:c r="AC16" s="42" t="n">
        <x:v>2</x:v>
      </x:c>
      <x:c r="AD16" s="42" t="n">
        <x:v>12000</x:v>
      </x:c>
      <x:c r="AE16" s="42" t="n">
        <x:v>1.96</x:v>
      </x:c>
      <x:c r="AF16" s="42" t="n">
        <x:v>1.96</x:v>
      </x:c>
      <x:c r="AG16" s="42" t="str">
        <x:v>Y</x:v>
      </x:c>
      <x:c r="AH16" s="42" t="n">
        <x:v>0.95</x:v>
      </x:c>
      <x:c r="AI16" s="42" t="n">
        <x:v>500</x:v>
      </x:c>
      <x:c r="AJ16" s="43" t="n">
        <x:v>70</x:v>
      </x:c>
    </x:row>
    <x:row r="17" ht="22" customHeight="1">
      <x:c r="A17" s="4" t="str">
        <x:v>S06-P02</x:v>
      </x:c>
      <x:c r="B17" s="4" t="str">
        <x:v>S06</x:v>
      </x:c>
      <x:c r="C17" s="4" t="str">
        <x:v>마포점</x:v>
      </x:c>
      <x:c r="D17" s="4" t="str">
        <x:v>마포구</x:v>
      </x:c>
      <x:c r="E17" s="4" t="str">
        <x:v>P02</x:v>
      </x:c>
      <x:c r="F17" s="4" t="str">
        <x:v>유어스샐러드랩</x:v>
      </x:c>
      <x:c r="G17" s="4" t="str">
        <x:v>신선식품</x:v>
      </x:c>
      <x:c r="H17" s="4" t="str">
        <x:v>신선식품</x:v>
      </x:c>
      <x:c r="I17" s="42" t="n">
        <x:v>42</x:v>
      </x:c>
      <x:c r="J17" s="42" t="n">
        <x:v>42</x:v>
      </x:c>
      <x:c r="K17" s="42" t="n">
        <x:v>42</x:v>
      </x:c>
      <x:c r="L17" s="42" t="n">
        <x:v>42</x:v>
      </x:c>
      <x:c r="M17" s="42" t="n">
        <x:v>37.5</x:v>
      </x:c>
      <x:c r="N17" s="42" t="n">
        <x:v>1.4</x:v>
      </x:c>
      <x:c r="O17" s="42" t="n">
        <x:v>9</x:v>
      </x:c>
      <x:c r="P17" s="42" t="n">
        <x:v>42</x:v>
      </x:c>
      <x:c r="Q17" s="42" t="n">
        <x:v>42</x:v>
      </x:c>
      <x:c r="R17" s="42" t="n">
        <x:v>0</x:v>
      </x:c>
      <x:c r="S17" s="42" t="n">
        <x:v>0</x:v>
      </x:c>
      <x:c r="T17" s="42" t="n">
        <x:v>10</x:v>
      </x:c>
      <x:c r="U17" s="42" t="n">
        <x:v>10</x:v>
      </x:c>
      <x:c r="V17" s="42" t="n">
        <x:v>25</x:v>
      </x:c>
      <x:c r="W17" s="42" t="n">
        <x:v>25</x:v>
      </x:c>
      <x:c r="X17" s="42" t="n">
        <x:v>2450</x:v>
      </x:c>
      <x:c r="Y17" s="42" t="n">
        <x:v>3300</x:v>
      </x:c>
      <x:c r="Z17" s="42" t="n">
        <x:v>500</x:v>
      </x:c>
      <x:c r="AA17" s="42" t="n">
        <x:v>500</x:v>
      </x:c>
      <x:c r="AB17" s="42" t="n">
        <x:v>0.42</x:v>
      </x:c>
      <x:c r="AC17" s="42" t="n">
        <x:v>2</x:v>
      </x:c>
      <x:c r="AD17" s="42" t="n">
        <x:v>12000</x:v>
      </x:c>
      <x:c r="AE17" s="42" t="n">
        <x:v>1.96</x:v>
      </x:c>
      <x:c r="AF17" s="42" t="n">
        <x:v>1.96</x:v>
      </x:c>
      <x:c r="AG17" s="42" t="str">
        <x:v>Y</x:v>
      </x:c>
      <x:c r="AH17" s="42" t="n">
        <x:v>0.95</x:v>
      </x:c>
      <x:c r="AI17" s="42" t="n">
        <x:v>500</x:v>
      </x:c>
      <x:c r="AJ17" s="43" t="n">
        <x:v>70</x:v>
      </x:c>
    </x:row>
    <x:row r="18" ht="22" customHeight="1">
      <x:c r="A18" s="4" t="str">
        <x:v>S07-P02</x:v>
      </x:c>
      <x:c r="B18" s="4" t="str">
        <x:v>S07</x:v>
      </x:c>
      <x:c r="C18" s="4" t="str">
        <x:v>종로점</x:v>
      </x:c>
      <x:c r="D18" s="4" t="str">
        <x:v>종로구</x:v>
      </x:c>
      <x:c r="E18" s="4" t="str">
        <x:v>P02</x:v>
      </x:c>
      <x:c r="F18" s="4" t="str">
        <x:v>유어스샐러드랩</x:v>
      </x:c>
      <x:c r="G18" s="4" t="str">
        <x:v>신선식품</x:v>
      </x:c>
      <x:c r="H18" s="4" t="str">
        <x:v>신선식품</x:v>
      </x:c>
      <x:c r="I18" s="42" t="n">
        <x:v>10</x:v>
      </x:c>
      <x:c r="J18" s="42" t="n">
        <x:v>10</x:v>
      </x:c>
      <x:c r="K18" s="42" t="n">
        <x:v>10</x:v>
      </x:c>
      <x:c r="L18" s="42" t="n">
        <x:v>10</x:v>
      </x:c>
      <x:c r="M18" s="42" t="n">
        <x:v>5</x:v>
      </x:c>
      <x:c r="N18" s="42" t="n">
        <x:v>3</x:v>
      </x:c>
      <x:c r="O18" s="42" t="n">
        <x:v>22</x:v>
      </x:c>
      <x:c r="P18" s="42" t="n">
        <x:v>90</x:v>
      </x:c>
      <x:c r="Q18" s="42" t="n">
        <x:v>90</x:v>
      </x:c>
      <x:c r="R18" s="42" t="n">
        <x:v>0</x:v>
      </x:c>
      <x:c r="S18" s="42" t="n">
        <x:v>80</x:v>
      </x:c>
      <x:c r="T18" s="42" t="n">
        <x:v>7</x:v>
      </x:c>
      <x:c r="U18" s="42" t="n">
        <x:v>7</x:v>
      </x:c>
      <x:c r="V18" s="42" t="n">
        <x:v>15</x:v>
      </x:c>
      <x:c r="W18" s="42" t="n">
        <x:v>15</x:v>
      </x:c>
      <x:c r="X18" s="42" t="n">
        <x:v>2450</x:v>
      </x:c>
      <x:c r="Y18" s="42" t="n">
        <x:v>3300</x:v>
      </x:c>
      <x:c r="Z18" s="42" t="n">
        <x:v>500</x:v>
      </x:c>
      <x:c r="AA18" s="42" t="n">
        <x:v>500</x:v>
      </x:c>
      <x:c r="AB18" s="42" t="n">
        <x:v>0.9</x:v>
      </x:c>
      <x:c r="AC18" s="42" t="n">
        <x:v>2</x:v>
      </x:c>
      <x:c r="AD18" s="42" t="n">
        <x:v>12000</x:v>
      </x:c>
      <x:c r="AE18" s="42" t="n">
        <x:v>1.96</x:v>
      </x:c>
      <x:c r="AF18" s="42" t="n">
        <x:v>1.96</x:v>
      </x:c>
      <x:c r="AG18" s="42" t="str">
        <x:v>Y</x:v>
      </x:c>
      <x:c r="AH18" s="42" t="n">
        <x:v>0.95</x:v>
      </x:c>
      <x:c r="AI18" s="42" t="n">
        <x:v>500</x:v>
      </x:c>
      <x:c r="AJ18" s="43" t="n">
        <x:v>80.5</x:v>
      </x:c>
    </x:row>
    <x:row r="19" ht="22" customHeight="1">
      <x:c r="A19" s="4" t="str">
        <x:v>S08-P02</x:v>
      </x:c>
      <x:c r="B19" s="4" t="str">
        <x:v>S08</x:v>
      </x:c>
      <x:c r="C19" s="4" t="str">
        <x:v>용산점</x:v>
      </x:c>
      <x:c r="D19" s="4" t="str">
        <x:v>용산구</x:v>
      </x:c>
      <x:c r="E19" s="4" t="str">
        <x:v>P02</x:v>
      </x:c>
      <x:c r="F19" s="4" t="str">
        <x:v>유어스샐러드랩</x:v>
      </x:c>
      <x:c r="G19" s="4" t="str">
        <x:v>신선식품</x:v>
      </x:c>
      <x:c r="H19" s="4" t="str">
        <x:v>신선식품</x:v>
      </x:c>
      <x:c r="I19" s="42" t="n">
        <x:v>46</x:v>
      </x:c>
      <x:c r="J19" s="42" t="n">
        <x:v>46</x:v>
      </x:c>
      <x:c r="K19" s="42" t="n">
        <x:v>46</x:v>
      </x:c>
      <x:c r="L19" s="42" t="n">
        <x:v>46</x:v>
      </x:c>
      <x:c r="M19" s="42" t="n">
        <x:v>41</x:v>
      </x:c>
      <x:c r="N19" s="42" t="n">
        <x:v>1.53</x:v>
      </x:c>
      <x:c r="O19" s="42" t="n">
        <x:v>10</x:v>
      </x:c>
      <x:c r="P19" s="42" t="n">
        <x:v>46</x:v>
      </x:c>
      <x:c r="Q19" s="42" t="n">
        <x:v>46</x:v>
      </x:c>
      <x:c r="R19" s="42" t="n">
        <x:v>0</x:v>
      </x:c>
      <x:c r="S19" s="42" t="n">
        <x:v>0</x:v>
      </x:c>
      <x:c r="T19" s="42" t="n">
        <x:v>10</x:v>
      </x:c>
      <x:c r="U19" s="42" t="n">
        <x:v>10</x:v>
      </x:c>
      <x:c r="V19" s="42" t="n">
        <x:v>25</x:v>
      </x:c>
      <x:c r="W19" s="42" t="n">
        <x:v>25</x:v>
      </x:c>
      <x:c r="X19" s="42" t="n">
        <x:v>2450</x:v>
      </x:c>
      <x:c r="Y19" s="42" t="n">
        <x:v>3300</x:v>
      </x:c>
      <x:c r="Z19" s="42" t="n">
        <x:v>500</x:v>
      </x:c>
      <x:c r="AA19" s="42" t="n">
        <x:v>500</x:v>
      </x:c>
      <x:c r="AB19" s="42" t="n">
        <x:v>0.46</x:v>
      </x:c>
      <x:c r="AC19" s="42" t="n">
        <x:v>2</x:v>
      </x:c>
      <x:c r="AD19" s="42" t="n">
        <x:v>12000</x:v>
      </x:c>
      <x:c r="AE19" s="42" t="n">
        <x:v>1.96</x:v>
      </x:c>
      <x:c r="AF19" s="42" t="n">
        <x:v>1.96</x:v>
      </x:c>
      <x:c r="AG19" s="42" t="str">
        <x:v>Y</x:v>
      </x:c>
      <x:c r="AH19" s="42" t="n">
        <x:v>0.95</x:v>
      </x:c>
      <x:c r="AI19" s="42" t="n">
        <x:v>500</x:v>
      </x:c>
      <x:c r="AJ19" s="43" t="n">
        <x:v>70</x:v>
      </x:c>
    </x:row>
    <x:row r="20" ht="22" customHeight="1">
      <x:c r="A20" s="4" t="str">
        <x:v>S09-P02</x:v>
      </x:c>
      <x:c r="B20" s="4" t="str">
        <x:v>S09</x:v>
      </x:c>
      <x:c r="C20" s="4" t="str">
        <x:v>상암점</x:v>
      </x:c>
      <x:c r="D20" s="4" t="str">
        <x:v>마포구</x:v>
      </x:c>
      <x:c r="E20" s="4" t="str">
        <x:v>P02</x:v>
      </x:c>
      <x:c r="F20" s="4" t="str">
        <x:v>유어스샐러드랩</x:v>
      </x:c>
      <x:c r="G20" s="4" t="str">
        <x:v>신선식품</x:v>
      </x:c>
      <x:c r="H20" s="4" t="str">
        <x:v>신선식품</x:v>
      </x:c>
      <x:c r="I20" s="42" t="n">
        <x:v>48</x:v>
      </x:c>
      <x:c r="J20" s="42" t="n">
        <x:v>48</x:v>
      </x:c>
      <x:c r="K20" s="42" t="n">
        <x:v>48</x:v>
      </x:c>
      <x:c r="L20" s="42" t="n">
        <x:v>48</x:v>
      </x:c>
      <x:c r="M20" s="42" t="n">
        <x:v>42.5</x:v>
      </x:c>
      <x:c r="N20" s="42" t="n">
        <x:v>1.6</x:v>
      </x:c>
      <x:c r="O20" s="42" t="n">
        <x:v>11</x:v>
      </x:c>
      <x:c r="P20" s="42" t="n">
        <x:v>48</x:v>
      </x:c>
      <x:c r="Q20" s="42" t="n">
        <x:v>48</x:v>
      </x:c>
      <x:c r="R20" s="42" t="n">
        <x:v>0</x:v>
      </x:c>
      <x:c r="S20" s="42" t="n">
        <x:v>0</x:v>
      </x:c>
      <x:c r="T20" s="42" t="n">
        <x:v>10</x:v>
      </x:c>
      <x:c r="U20" s="42" t="n">
        <x:v>10</x:v>
      </x:c>
      <x:c r="V20" s="42" t="n">
        <x:v>25</x:v>
      </x:c>
      <x:c r="W20" s="42" t="n">
        <x:v>25</x:v>
      </x:c>
      <x:c r="X20" s="42" t="n">
        <x:v>2450</x:v>
      </x:c>
      <x:c r="Y20" s="42" t="n">
        <x:v>3300</x:v>
      </x:c>
      <x:c r="Z20" s="42" t="n">
        <x:v>500</x:v>
      </x:c>
      <x:c r="AA20" s="42" t="n">
        <x:v>500</x:v>
      </x:c>
      <x:c r="AB20" s="42" t="n">
        <x:v>0.48</x:v>
      </x:c>
      <x:c r="AC20" s="42" t="n">
        <x:v>2</x:v>
      </x:c>
      <x:c r="AD20" s="42" t="n">
        <x:v>12000</x:v>
      </x:c>
      <x:c r="AE20" s="42" t="n">
        <x:v>1.96</x:v>
      </x:c>
      <x:c r="AF20" s="42" t="n">
        <x:v>1.96</x:v>
      </x:c>
      <x:c r="AG20" s="42" t="str">
        <x:v>Y</x:v>
      </x:c>
      <x:c r="AH20" s="42" t="n">
        <x:v>0.95</x:v>
      </x:c>
      <x:c r="AI20" s="42" t="n">
        <x:v>500</x:v>
      </x:c>
      <x:c r="AJ20" s="43" t="n">
        <x:v>70</x:v>
      </x:c>
    </x:row>
    <x:row r="21" ht="22" customHeight="1">
      <x:c r="A21" s="4" t="str">
        <x:v>S10-P02</x:v>
      </x:c>
      <x:c r="B21" s="4" t="str">
        <x:v>S10</x:v>
      </x:c>
      <x:c r="C21" s="4" t="str">
        <x:v>구파발점</x:v>
      </x:c>
      <x:c r="D21" s="4" t="str">
        <x:v>은평구</x:v>
      </x:c>
      <x:c r="E21" s="4" t="str">
        <x:v>P02</x:v>
      </x:c>
      <x:c r="F21" s="4" t="str">
        <x:v>유어스샐러드랩</x:v>
      </x:c>
      <x:c r="G21" s="4" t="str">
        <x:v>신선식품</x:v>
      </x:c>
      <x:c r="H21" s="4" t="str">
        <x:v>신선식품</x:v>
      </x:c>
      <x:c r="I21" s="42" t="n">
        <x:v>40</x:v>
      </x:c>
      <x:c r="J21" s="42" t="n">
        <x:v>40</x:v>
      </x:c>
      <x:c r="K21" s="42" t="n">
        <x:v>40</x:v>
      </x:c>
      <x:c r="L21" s="42" t="n">
        <x:v>40</x:v>
      </x:c>
      <x:c r="M21" s="42" t="n">
        <x:v>35.5</x:v>
      </x:c>
      <x:c r="N21" s="42" t="n">
        <x:v>1.33</x:v>
      </x:c>
      <x:c r="O21" s="42" t="n">
        <x:v>9</x:v>
      </x:c>
      <x:c r="P21" s="42" t="n">
        <x:v>40</x:v>
      </x:c>
      <x:c r="Q21" s="42" t="n">
        <x:v>40</x:v>
      </x:c>
      <x:c r="R21" s="42" t="n">
        <x:v>0</x:v>
      </x:c>
      <x:c r="S21" s="42" t="n">
        <x:v>0</x:v>
      </x:c>
      <x:c r="T21" s="42" t="n">
        <x:v>10</x:v>
      </x:c>
      <x:c r="U21" s="42" t="n">
        <x:v>10</x:v>
      </x:c>
      <x:c r="V21" s="42" t="n">
        <x:v>25</x:v>
      </x:c>
      <x:c r="W21" s="42" t="n">
        <x:v>25</x:v>
      </x:c>
      <x:c r="X21" s="42" t="n">
        <x:v>2450</x:v>
      </x:c>
      <x:c r="Y21" s="42" t="n">
        <x:v>3300</x:v>
      </x:c>
      <x:c r="Z21" s="42" t="n">
        <x:v>500</x:v>
      </x:c>
      <x:c r="AA21" s="42" t="n">
        <x:v>500</x:v>
      </x:c>
      <x:c r="AB21" s="42" t="n">
        <x:v>0.4</x:v>
      </x:c>
      <x:c r="AC21" s="42" t="n">
        <x:v>2</x:v>
      </x:c>
      <x:c r="AD21" s="42" t="n">
        <x:v>12000</x:v>
      </x:c>
      <x:c r="AE21" s="42" t="n">
        <x:v>1.96</x:v>
      </x:c>
      <x:c r="AF21" s="42" t="n">
        <x:v>1.96</x:v>
      </x:c>
      <x:c r="AG21" s="42" t="str">
        <x:v>Y</x:v>
      </x:c>
      <x:c r="AH21" s="42" t="n">
        <x:v>0.95</x:v>
      </x:c>
      <x:c r="AI21" s="42" t="n">
        <x:v>500</x:v>
      </x:c>
      <x:c r="AJ21" s="43" t="n">
        <x:v>70</x:v>
      </x:c>
    </x:row>
    <x:row r="22" ht="22" customHeight="1">
      <x:c r="A22" s="4" t="str">
        <x:v>S01-P03</x:v>
      </x:c>
      <x:c r="B22" s="4" t="str">
        <x:v>S01</x:v>
      </x:c>
      <x:c r="C22" s="4" t="str">
        <x:v>연신내점</x:v>
      </x:c>
      <x:c r="D22" s="4" t="str">
        <x:v>은평구</x:v>
      </x:c>
      <x:c r="E22" s="4" t="str">
        <x:v>P03</x:v>
      </x:c>
      <x:c r="F22" s="4" t="str">
        <x:v>서울우유200ml</x:v>
      </x:c>
      <x:c r="G22" s="4" t="str">
        <x:v>유제품</x:v>
      </x:c>
      <x:c r="H22" s="4" t="str">
        <x:v>유제품</x:v>
      </x:c>
      <x:c r="I22" s="42" t="n">
        <x:v>42</x:v>
      </x:c>
      <x:c r="J22" s="42" t="n">
        <x:v>42</x:v>
      </x:c>
      <x:c r="K22" s="42" t="n">
        <x:v>42</x:v>
      </x:c>
      <x:c r="L22" s="42" t="n">
        <x:v>42</x:v>
      </x:c>
      <x:c r="M22" s="42" t="n">
        <x:v>37.5</x:v>
      </x:c>
      <x:c r="N22" s="42" t="n">
        <x:v>1.4</x:v>
      </x:c>
      <x:c r="O22" s="42" t="n">
        <x:v>9</x:v>
      </x:c>
      <x:c r="P22" s="42" t="n">
        <x:v>42</x:v>
      </x:c>
      <x:c r="Q22" s="42" t="n">
        <x:v>42</x:v>
      </x:c>
      <x:c r="R22" s="42" t="n">
        <x:v>0</x:v>
      </x:c>
      <x:c r="S22" s="42" t="n">
        <x:v>0</x:v>
      </x:c>
      <x:c r="T22" s="42" t="n">
        <x:v>12</x:v>
      </x:c>
      <x:c r="U22" s="42" t="n">
        <x:v>12</x:v>
      </x:c>
      <x:c r="V22" s="42" t="n">
        <x:v>25</x:v>
      </x:c>
      <x:c r="W22" s="42" t="n">
        <x:v>25</x:v>
      </x:c>
      <x:c r="X22" s="42" t="n">
        <x:v>1090</x:v>
      </x:c>
      <x:c r="Y22" s="42" t="n">
        <x:v>1500</x:v>
      </x:c>
      <x:c r="Z22" s="42" t="n">
        <x:v>250</x:v>
      </x:c>
      <x:c r="AA22" s="42" t="n">
        <x:v>250</x:v>
      </x:c>
      <x:c r="AB22" s="42" t="n">
        <x:v>0.42</x:v>
      </x:c>
      <x:c r="AC22" s="42" t="n">
        <x:v>2</x:v>
      </x:c>
      <x:c r="AD22" s="42" t="n">
        <x:v>8000</x:v>
      </x:c>
      <x:c r="AE22" s="42" t="n">
        <x:v>0.87</x:v>
      </x:c>
      <x:c r="AF22" s="42" t="n">
        <x:v>0.87</x:v>
      </x:c>
      <x:c r="AG22" s="42" t="str">
        <x:v>Y</x:v>
      </x:c>
      <x:c r="AH22" s="42" t="n">
        <x:v>0.95</x:v>
      </x:c>
      <x:c r="AI22" s="42" t="n">
        <x:v>500</x:v>
      </x:c>
      <x:c r="AJ22" s="43" t="n">
        <x:v>63</x:v>
      </x:c>
    </x:row>
    <x:row r="23" ht="22" customHeight="1">
      <x:c r="A23" s="4" t="str">
        <x:v>S02-P03</x:v>
      </x:c>
      <x:c r="B23" s="4" t="str">
        <x:v>S02</x:v>
      </x:c>
      <x:c r="C23" s="4" t="str">
        <x:v>불광점</x:v>
      </x:c>
      <x:c r="D23" s="4" t="str">
        <x:v>은평구</x:v>
      </x:c>
      <x:c r="E23" s="4" t="str">
        <x:v>P03</x:v>
      </x:c>
      <x:c r="F23" s="4" t="str">
        <x:v>서울우유200ml</x:v>
      </x:c>
      <x:c r="G23" s="4" t="str">
        <x:v>유제품</x:v>
      </x:c>
      <x:c r="H23" s="4" t="str">
        <x:v>유제품</x:v>
      </x:c>
      <x:c r="I23" s="42" t="n">
        <x:v>44</x:v>
      </x:c>
      <x:c r="J23" s="42" t="n">
        <x:v>44</x:v>
      </x:c>
      <x:c r="K23" s="42" t="n">
        <x:v>44</x:v>
      </x:c>
      <x:c r="L23" s="42" t="n">
        <x:v>44</x:v>
      </x:c>
      <x:c r="M23" s="42" t="n">
        <x:v>39</x:v>
      </x:c>
      <x:c r="N23" s="42" t="n">
        <x:v>1.47</x:v>
      </x:c>
      <x:c r="O23" s="42" t="n">
        <x:v>10</x:v>
      </x:c>
      <x:c r="P23" s="42" t="n">
        <x:v>44</x:v>
      </x:c>
      <x:c r="Q23" s="42" t="n">
        <x:v>44</x:v>
      </x:c>
      <x:c r="R23" s="42" t="n">
        <x:v>0</x:v>
      </x:c>
      <x:c r="S23" s="42" t="n">
        <x:v>0</x:v>
      </x:c>
      <x:c r="T23" s="42" t="n">
        <x:v>12</x:v>
      </x:c>
      <x:c r="U23" s="42" t="n">
        <x:v>12</x:v>
      </x:c>
      <x:c r="V23" s="42" t="n">
        <x:v>25</x:v>
      </x:c>
      <x:c r="W23" s="42" t="n">
        <x:v>25</x:v>
      </x:c>
      <x:c r="X23" s="42" t="n">
        <x:v>1090</x:v>
      </x:c>
      <x:c r="Y23" s="42" t="n">
        <x:v>1500</x:v>
      </x:c>
      <x:c r="Z23" s="42" t="n">
        <x:v>250</x:v>
      </x:c>
      <x:c r="AA23" s="42" t="n">
        <x:v>250</x:v>
      </x:c>
      <x:c r="AB23" s="42" t="n">
        <x:v>0.44</x:v>
      </x:c>
      <x:c r="AC23" s="42" t="n">
        <x:v>2</x:v>
      </x:c>
      <x:c r="AD23" s="42" t="n">
        <x:v>8000</x:v>
      </x:c>
      <x:c r="AE23" s="42" t="n">
        <x:v>0.87</x:v>
      </x:c>
      <x:c r="AF23" s="42" t="n">
        <x:v>0.87</x:v>
      </x:c>
      <x:c r="AG23" s="42" t="str">
        <x:v>Y</x:v>
      </x:c>
      <x:c r="AH23" s="42" t="n">
        <x:v>0.95</x:v>
      </x:c>
      <x:c r="AI23" s="42" t="n">
        <x:v>500</x:v>
      </x:c>
      <x:c r="AJ23" s="43" t="n">
        <x:v>63</x:v>
      </x:c>
    </x:row>
    <x:row r="24" ht="22" customHeight="1">
      <x:c r="A24" s="4" t="str">
        <x:v>S03-P03</x:v>
      </x:c>
      <x:c r="B24" s="4" t="str">
        <x:v>S03</x:v>
      </x:c>
      <x:c r="C24" s="4" t="str">
        <x:v>응암점</x:v>
      </x:c>
      <x:c r="D24" s="4" t="str">
        <x:v>은평구</x:v>
      </x:c>
      <x:c r="E24" s="4" t="str">
        <x:v>P03</x:v>
      </x:c>
      <x:c r="F24" s="4" t="str">
        <x:v>서울우유200ml</x:v>
      </x:c>
      <x:c r="G24" s="4" t="str">
        <x:v>유제품</x:v>
      </x:c>
      <x:c r="H24" s="4" t="str">
        <x:v>유제품</x:v>
      </x:c>
      <x:c r="I24" s="42" t="n">
        <x:v>130</x:v>
      </x:c>
      <x:c r="J24" s="42" t="n">
        <x:v>130</x:v>
      </x:c>
      <x:c r="K24" s="42" t="n">
        <x:v>130</x:v>
      </x:c>
      <x:c r="L24" s="42" t="n">
        <x:v>130</x:v>
      </x:c>
      <x:c r="M24" s="42" t="n">
        <x:v>127</x:v>
      </x:c>
      <x:c r="N24" s="42" t="n">
        <x:v>0.83</x:v>
      </x:c>
      <x:c r="O24" s="42" t="n">
        <x:v>6</x:v>
      </x:c>
      <x:c r="P24" s="42" t="n">
        <x:v>25</x:v>
      </x:c>
      <x:c r="Q24" s="42" t="n">
        <x:v>25</x:v>
      </x:c>
      <x:c r="R24" s="42" t="n">
        <x:v>105</x:v>
      </x:c>
      <x:c r="S24" s="42" t="n">
        <x:v>0</x:v>
      </x:c>
      <x:c r="T24" s="42" t="n">
        <x:v>4</x:v>
      </x:c>
      <x:c r="U24" s="42" t="n">
        <x:v>4</x:v>
      </x:c>
      <x:c r="V24" s="42" t="n">
        <x:v>70</x:v>
      </x:c>
      <x:c r="W24" s="42" t="n">
        <x:v>70</x:v>
      </x:c>
      <x:c r="X24" s="42" t="n">
        <x:v>1090</x:v>
      </x:c>
      <x:c r="Y24" s="42" t="n">
        <x:v>1500</x:v>
      </x:c>
      <x:c r="Z24" s="42" t="n">
        <x:v>250</x:v>
      </x:c>
      <x:c r="AA24" s="42" t="n">
        <x:v>250</x:v>
      </x:c>
      <x:c r="AB24" s="42" t="n">
        <x:v>0.25</x:v>
      </x:c>
      <x:c r="AC24" s="42" t="n">
        <x:v>2</x:v>
      </x:c>
      <x:c r="AD24" s="42" t="n">
        <x:v>8000</x:v>
      </x:c>
      <x:c r="AE24" s="42" t="n">
        <x:v>0.87</x:v>
      </x:c>
      <x:c r="AF24" s="42" t="n">
        <x:v>0.87</x:v>
      </x:c>
      <x:c r="AG24" s="42" t="str">
        <x:v>Y</x:v>
      </x:c>
      <x:c r="AH24" s="42" t="n">
        <x:v>0.95</x:v>
      </x:c>
      <x:c r="AI24" s="42" t="n">
        <x:v>500</x:v>
      </x:c>
      <x:c r="AJ24" s="43" t="n">
        <x:v>91</x:v>
      </x:c>
    </x:row>
    <x:row r="25" ht="22" customHeight="1">
      <x:c r="A25" s="4" t="str">
        <x:v>S04-P03</x:v>
      </x:c>
      <x:c r="B25" s="4" t="str">
        <x:v>S04</x:v>
      </x:c>
      <x:c r="C25" s="4" t="str">
        <x:v>홍제점</x:v>
      </x:c>
      <x:c r="D25" s="4" t="str">
        <x:v>서대문구</x:v>
      </x:c>
      <x:c r="E25" s="4" t="str">
        <x:v>P03</x:v>
      </x:c>
      <x:c r="F25" s="4" t="str">
        <x:v>서울우유200ml</x:v>
      </x:c>
      <x:c r="G25" s="4" t="str">
        <x:v>유제품</x:v>
      </x:c>
      <x:c r="H25" s="4" t="str">
        <x:v>유제품</x:v>
      </x:c>
      <x:c r="I25" s="42" t="n">
        <x:v>48</x:v>
      </x:c>
      <x:c r="J25" s="42" t="n">
        <x:v>48</x:v>
      </x:c>
      <x:c r="K25" s="42" t="n">
        <x:v>48</x:v>
      </x:c>
      <x:c r="L25" s="42" t="n">
        <x:v>48</x:v>
      </x:c>
      <x:c r="M25" s="42" t="n">
        <x:v>42.5</x:v>
      </x:c>
      <x:c r="N25" s="42" t="n">
        <x:v>1.6</x:v>
      </x:c>
      <x:c r="O25" s="42" t="n">
        <x:v>11</x:v>
      </x:c>
      <x:c r="P25" s="42" t="n">
        <x:v>48</x:v>
      </x:c>
      <x:c r="Q25" s="42" t="n">
        <x:v>48</x:v>
      </x:c>
      <x:c r="R25" s="42" t="n">
        <x:v>0</x:v>
      </x:c>
      <x:c r="S25" s="42" t="n">
        <x:v>0</x:v>
      </x:c>
      <x:c r="T25" s="42" t="n">
        <x:v>12</x:v>
      </x:c>
      <x:c r="U25" s="42" t="n">
        <x:v>12</x:v>
      </x:c>
      <x:c r="V25" s="42" t="n">
        <x:v>25</x:v>
      </x:c>
      <x:c r="W25" s="42" t="n">
        <x:v>25</x:v>
      </x:c>
      <x:c r="X25" s="42" t="n">
        <x:v>1090</x:v>
      </x:c>
      <x:c r="Y25" s="42" t="n">
        <x:v>1500</x:v>
      </x:c>
      <x:c r="Z25" s="42" t="n">
        <x:v>250</x:v>
      </x:c>
      <x:c r="AA25" s="42" t="n">
        <x:v>250</x:v>
      </x:c>
      <x:c r="AB25" s="42" t="n">
        <x:v>0.48</x:v>
      </x:c>
      <x:c r="AC25" s="42" t="n">
        <x:v>2</x:v>
      </x:c>
      <x:c r="AD25" s="42" t="n">
        <x:v>8000</x:v>
      </x:c>
      <x:c r="AE25" s="42" t="n">
        <x:v>0.87</x:v>
      </x:c>
      <x:c r="AF25" s="42" t="n">
        <x:v>0.87</x:v>
      </x:c>
      <x:c r="AG25" s="42" t="str">
        <x:v>Y</x:v>
      </x:c>
      <x:c r="AH25" s="42" t="n">
        <x:v>0.95</x:v>
      </x:c>
      <x:c r="AI25" s="42" t="n">
        <x:v>500</x:v>
      </x:c>
      <x:c r="AJ25" s="43" t="n">
        <x:v>63</x:v>
      </x:c>
    </x:row>
    <x:row r="26" ht="22" customHeight="1">
      <x:c r="A26" s="4" t="str">
        <x:v>S05-P03</x:v>
      </x:c>
      <x:c r="B26" s="4" t="str">
        <x:v>S05</x:v>
      </x:c>
      <x:c r="C26" s="4" t="str">
        <x:v>신촌점</x:v>
      </x:c>
      <x:c r="D26" s="4" t="str">
        <x:v>서대문구</x:v>
      </x:c>
      <x:c r="E26" s="4" t="str">
        <x:v>P03</x:v>
      </x:c>
      <x:c r="F26" s="4" t="str">
        <x:v>서울우유200ml</x:v>
      </x:c>
      <x:c r="G26" s="4" t="str">
        <x:v>유제품</x:v>
      </x:c>
      <x:c r="H26" s="4" t="str">
        <x:v>유제품</x:v>
      </x:c>
      <x:c r="I26" s="42" t="n">
        <x:v>40</x:v>
      </x:c>
      <x:c r="J26" s="42" t="n">
        <x:v>40</x:v>
      </x:c>
      <x:c r="K26" s="42" t="n">
        <x:v>40</x:v>
      </x:c>
      <x:c r="L26" s="42" t="n">
        <x:v>40</x:v>
      </x:c>
      <x:c r="M26" s="42" t="n">
        <x:v>35.5</x:v>
      </x:c>
      <x:c r="N26" s="42" t="n">
        <x:v>1.33</x:v>
      </x:c>
      <x:c r="O26" s="42" t="n">
        <x:v>9</x:v>
      </x:c>
      <x:c r="P26" s="42" t="n">
        <x:v>40</x:v>
      </x:c>
      <x:c r="Q26" s="42" t="n">
        <x:v>40</x:v>
      </x:c>
      <x:c r="R26" s="42" t="n">
        <x:v>0</x:v>
      </x:c>
      <x:c r="S26" s="42" t="n">
        <x:v>0</x:v>
      </x:c>
      <x:c r="T26" s="42" t="n">
        <x:v>12</x:v>
      </x:c>
      <x:c r="U26" s="42" t="n">
        <x:v>12</x:v>
      </x:c>
      <x:c r="V26" s="42" t="n">
        <x:v>25</x:v>
      </x:c>
      <x:c r="W26" s="42" t="n">
        <x:v>25</x:v>
      </x:c>
      <x:c r="X26" s="42" t="n">
        <x:v>1090</x:v>
      </x:c>
      <x:c r="Y26" s="42" t="n">
        <x:v>1500</x:v>
      </x:c>
      <x:c r="Z26" s="42" t="n">
        <x:v>250</x:v>
      </x:c>
      <x:c r="AA26" s="42" t="n">
        <x:v>250</x:v>
      </x:c>
      <x:c r="AB26" s="42" t="n">
        <x:v>0.4</x:v>
      </x:c>
      <x:c r="AC26" s="42" t="n">
        <x:v>2</x:v>
      </x:c>
      <x:c r="AD26" s="42" t="n">
        <x:v>8000</x:v>
      </x:c>
      <x:c r="AE26" s="42" t="n">
        <x:v>0.87</x:v>
      </x:c>
      <x:c r="AF26" s="42" t="n">
        <x:v>0.87</x:v>
      </x:c>
      <x:c r="AG26" s="42" t="str">
        <x:v>Y</x:v>
      </x:c>
      <x:c r="AH26" s="42" t="n">
        <x:v>0.95</x:v>
      </x:c>
      <x:c r="AI26" s="42" t="n">
        <x:v>500</x:v>
      </x:c>
      <x:c r="AJ26" s="43" t="n">
        <x:v>63</x:v>
      </x:c>
    </x:row>
    <x:row r="27" ht="22" customHeight="1">
      <x:c r="A27" s="4" t="str">
        <x:v>S06-P03</x:v>
      </x:c>
      <x:c r="B27" s="4" t="str">
        <x:v>S06</x:v>
      </x:c>
      <x:c r="C27" s="4" t="str">
        <x:v>마포점</x:v>
      </x:c>
      <x:c r="D27" s="4" t="str">
        <x:v>마포구</x:v>
      </x:c>
      <x:c r="E27" s="4" t="str">
        <x:v>P03</x:v>
      </x:c>
      <x:c r="F27" s="4" t="str">
        <x:v>서울우유200ml</x:v>
      </x:c>
      <x:c r="G27" s="4" t="str">
        <x:v>유제품</x:v>
      </x:c>
      <x:c r="H27" s="4" t="str">
        <x:v>유제품</x:v>
      </x:c>
      <x:c r="I27" s="42" t="n">
        <x:v>5</x:v>
      </x:c>
      <x:c r="J27" s="42" t="n">
        <x:v>5</x:v>
      </x:c>
      <x:c r="K27" s="42" t="n">
        <x:v>5</x:v>
      </x:c>
      <x:c r="L27" s="42" t="n">
        <x:v>5</x:v>
      </x:c>
      <x:c r="M27" s="42" t="n">
        <x:v>2.5</x:v>
      </x:c>
      <x:c r="N27" s="42" t="n">
        <x:v>2.67</x:v>
      </x:c>
      <x:c r="O27" s="42" t="n">
        <x:v>20</x:v>
      </x:c>
      <x:c r="P27" s="42" t="n">
        <x:v>80</x:v>
      </x:c>
      <x:c r="Q27" s="42" t="n">
        <x:v>80</x:v>
      </x:c>
      <x:c r="R27" s="42" t="n">
        <x:v>0</x:v>
      </x:c>
      <x:c r="S27" s="42" t="n">
        <x:v>75</x:v>
      </x:c>
      <x:c r="T27" s="42" t="n">
        <x:v>9</x:v>
      </x:c>
      <x:c r="U27" s="42" t="n">
        <x:v>9</x:v>
      </x:c>
      <x:c r="V27" s="42" t="n">
        <x:v>15</x:v>
      </x:c>
      <x:c r="W27" s="42" t="n">
        <x:v>15</x:v>
      </x:c>
      <x:c r="X27" s="42" t="n">
        <x:v>1090</x:v>
      </x:c>
      <x:c r="Y27" s="42" t="n">
        <x:v>1500</x:v>
      </x:c>
      <x:c r="Z27" s="42" t="n">
        <x:v>250</x:v>
      </x:c>
      <x:c r="AA27" s="42" t="n">
        <x:v>250</x:v>
      </x:c>
      <x:c r="AB27" s="42" t="n">
        <x:v>0.8</x:v>
      </x:c>
      <x:c r="AC27" s="42" t="n">
        <x:v>2</x:v>
      </x:c>
      <x:c r="AD27" s="42" t="n">
        <x:v>8000</x:v>
      </x:c>
      <x:c r="AE27" s="42" t="n">
        <x:v>0.87</x:v>
      </x:c>
      <x:c r="AF27" s="42" t="n">
        <x:v>0.87</x:v>
      </x:c>
      <x:c r="AG27" s="42" t="str">
        <x:v>Y</x:v>
      </x:c>
      <x:c r="AH27" s="42" t="n">
        <x:v>0.95</x:v>
      </x:c>
      <x:c r="AI27" s="42" t="n">
        <x:v>500</x:v>
      </x:c>
      <x:c r="AJ27" s="43" t="n">
        <x:v>73.5</x:v>
      </x:c>
    </x:row>
    <x:row r="28" ht="22" customHeight="1">
      <x:c r="A28" s="4" t="str">
        <x:v>S07-P03</x:v>
      </x:c>
      <x:c r="B28" s="4" t="str">
        <x:v>S07</x:v>
      </x:c>
      <x:c r="C28" s="4" t="str">
        <x:v>종로점</x:v>
      </x:c>
      <x:c r="D28" s="4" t="str">
        <x:v>종로구</x:v>
      </x:c>
      <x:c r="E28" s="4" t="str">
        <x:v>P03</x:v>
      </x:c>
      <x:c r="F28" s="4" t="str">
        <x:v>서울우유200ml</x:v>
      </x:c>
      <x:c r="G28" s="4" t="str">
        <x:v>유제품</x:v>
      </x:c>
      <x:c r="H28" s="4" t="str">
        <x:v>유제품</x:v>
      </x:c>
      <x:c r="I28" s="42" t="n">
        <x:v>44</x:v>
      </x:c>
      <x:c r="J28" s="42" t="n">
        <x:v>44</x:v>
      </x:c>
      <x:c r="K28" s="42" t="n">
        <x:v>44</x:v>
      </x:c>
      <x:c r="L28" s="42" t="n">
        <x:v>44</x:v>
      </x:c>
      <x:c r="M28" s="42" t="n">
        <x:v>39</x:v>
      </x:c>
      <x:c r="N28" s="42" t="n">
        <x:v>1.47</x:v>
      </x:c>
      <x:c r="O28" s="42" t="n">
        <x:v>10</x:v>
      </x:c>
      <x:c r="P28" s="42" t="n">
        <x:v>44</x:v>
      </x:c>
      <x:c r="Q28" s="42" t="n">
        <x:v>44</x:v>
      </x:c>
      <x:c r="R28" s="42" t="n">
        <x:v>0</x:v>
      </x:c>
      <x:c r="S28" s="42" t="n">
        <x:v>0</x:v>
      </x:c>
      <x:c r="T28" s="42" t="n">
        <x:v>12</x:v>
      </x:c>
      <x:c r="U28" s="42" t="n">
        <x:v>12</x:v>
      </x:c>
      <x:c r="V28" s="42" t="n">
        <x:v>25</x:v>
      </x:c>
      <x:c r="W28" s="42" t="n">
        <x:v>25</x:v>
      </x:c>
      <x:c r="X28" s="42" t="n">
        <x:v>1090</x:v>
      </x:c>
      <x:c r="Y28" s="42" t="n">
        <x:v>1500</x:v>
      </x:c>
      <x:c r="Z28" s="42" t="n">
        <x:v>250</x:v>
      </x:c>
      <x:c r="AA28" s="42" t="n">
        <x:v>250</x:v>
      </x:c>
      <x:c r="AB28" s="42" t="n">
        <x:v>0.44</x:v>
      </x:c>
      <x:c r="AC28" s="42" t="n">
        <x:v>2</x:v>
      </x:c>
      <x:c r="AD28" s="42" t="n">
        <x:v>8000</x:v>
      </x:c>
      <x:c r="AE28" s="42" t="n">
        <x:v>0.87</x:v>
      </x:c>
      <x:c r="AF28" s="42" t="n">
        <x:v>0.87</x:v>
      </x:c>
      <x:c r="AG28" s="42" t="str">
        <x:v>Y</x:v>
      </x:c>
      <x:c r="AH28" s="42" t="n">
        <x:v>0.95</x:v>
      </x:c>
      <x:c r="AI28" s="42" t="n">
        <x:v>500</x:v>
      </x:c>
      <x:c r="AJ28" s="43" t="n">
        <x:v>63</x:v>
      </x:c>
    </x:row>
    <x:row r="29" ht="22" customHeight="1">
      <x:c r="A29" s="4" t="str">
        <x:v>S08-P03</x:v>
      </x:c>
      <x:c r="B29" s="4" t="str">
        <x:v>S08</x:v>
      </x:c>
      <x:c r="C29" s="4" t="str">
        <x:v>용산점</x:v>
      </x:c>
      <x:c r="D29" s="4" t="str">
        <x:v>용산구</x:v>
      </x:c>
      <x:c r="E29" s="4" t="str">
        <x:v>P03</x:v>
      </x:c>
      <x:c r="F29" s="4" t="str">
        <x:v>서울우유200ml</x:v>
      </x:c>
      <x:c r="G29" s="4" t="str">
        <x:v>유제품</x:v>
      </x:c>
      <x:c r="H29" s="4" t="str">
        <x:v>유제품</x:v>
      </x:c>
      <x:c r="I29" s="42" t="n">
        <x:v>46</x:v>
      </x:c>
      <x:c r="J29" s="42" t="n">
        <x:v>46</x:v>
      </x:c>
      <x:c r="K29" s="42" t="n">
        <x:v>46</x:v>
      </x:c>
      <x:c r="L29" s="42" t="n">
        <x:v>46</x:v>
      </x:c>
      <x:c r="M29" s="42" t="n">
        <x:v>41</x:v>
      </x:c>
      <x:c r="N29" s="42" t="n">
        <x:v>1.53</x:v>
      </x:c>
      <x:c r="O29" s="42" t="n">
        <x:v>10</x:v>
      </x:c>
      <x:c r="P29" s="42" t="n">
        <x:v>46</x:v>
      </x:c>
      <x:c r="Q29" s="42" t="n">
        <x:v>46</x:v>
      </x:c>
      <x:c r="R29" s="42" t="n">
        <x:v>0</x:v>
      </x:c>
      <x:c r="S29" s="42" t="n">
        <x:v>0</x:v>
      </x:c>
      <x:c r="T29" s="42" t="n">
        <x:v>12</x:v>
      </x:c>
      <x:c r="U29" s="42" t="n">
        <x:v>12</x:v>
      </x:c>
      <x:c r="V29" s="42" t="n">
        <x:v>25</x:v>
      </x:c>
      <x:c r="W29" s="42" t="n">
        <x:v>25</x:v>
      </x:c>
      <x:c r="X29" s="42" t="n">
        <x:v>1090</x:v>
      </x:c>
      <x:c r="Y29" s="42" t="n">
        <x:v>1500</x:v>
      </x:c>
      <x:c r="Z29" s="42" t="n">
        <x:v>250</x:v>
      </x:c>
      <x:c r="AA29" s="42" t="n">
        <x:v>250</x:v>
      </x:c>
      <x:c r="AB29" s="42" t="n">
        <x:v>0.46</x:v>
      </x:c>
      <x:c r="AC29" s="42" t="n">
        <x:v>2</x:v>
      </x:c>
      <x:c r="AD29" s="42" t="n">
        <x:v>8000</x:v>
      </x:c>
      <x:c r="AE29" s="42" t="n">
        <x:v>0.87</x:v>
      </x:c>
      <x:c r="AF29" s="42" t="n">
        <x:v>0.87</x:v>
      </x:c>
      <x:c r="AG29" s="42" t="str">
        <x:v>Y</x:v>
      </x:c>
      <x:c r="AH29" s="42" t="n">
        <x:v>0.95</x:v>
      </x:c>
      <x:c r="AI29" s="42" t="n">
        <x:v>500</x:v>
      </x:c>
      <x:c r="AJ29" s="43" t="n">
        <x:v>63</x:v>
      </x:c>
    </x:row>
    <x:row r="30" ht="22" customHeight="1">
      <x:c r="A30" s="4" t="str">
        <x:v>S09-P03</x:v>
      </x:c>
      <x:c r="B30" s="4" t="str">
        <x:v>S09</x:v>
      </x:c>
      <x:c r="C30" s="4" t="str">
        <x:v>상암점</x:v>
      </x:c>
      <x:c r="D30" s="4" t="str">
        <x:v>마포구</x:v>
      </x:c>
      <x:c r="E30" s="4" t="str">
        <x:v>P03</x:v>
      </x:c>
      <x:c r="F30" s="4" t="str">
        <x:v>서울우유200ml</x:v>
      </x:c>
      <x:c r="G30" s="4" t="str">
        <x:v>유제품</x:v>
      </x:c>
      <x:c r="H30" s="4" t="str">
        <x:v>유제품</x:v>
      </x:c>
      <x:c r="I30" s="42" t="n">
        <x:v>48</x:v>
      </x:c>
      <x:c r="J30" s="42" t="n">
        <x:v>48</x:v>
      </x:c>
      <x:c r="K30" s="42" t="n">
        <x:v>48</x:v>
      </x:c>
      <x:c r="L30" s="42" t="n">
        <x:v>48</x:v>
      </x:c>
      <x:c r="M30" s="42" t="n">
        <x:v>42.5</x:v>
      </x:c>
      <x:c r="N30" s="42" t="n">
        <x:v>1.6</x:v>
      </x:c>
      <x:c r="O30" s="42" t="n">
        <x:v>11</x:v>
      </x:c>
      <x:c r="P30" s="42" t="n">
        <x:v>48</x:v>
      </x:c>
      <x:c r="Q30" s="42" t="n">
        <x:v>48</x:v>
      </x:c>
      <x:c r="R30" s="42" t="n">
        <x:v>0</x:v>
      </x:c>
      <x:c r="S30" s="42" t="n">
        <x:v>0</x:v>
      </x:c>
      <x:c r="T30" s="42" t="n">
        <x:v>12</x:v>
      </x:c>
      <x:c r="U30" s="42" t="n">
        <x:v>12</x:v>
      </x:c>
      <x:c r="V30" s="42" t="n">
        <x:v>25</x:v>
      </x:c>
      <x:c r="W30" s="42" t="n">
        <x:v>25</x:v>
      </x:c>
      <x:c r="X30" s="42" t="n">
        <x:v>1090</x:v>
      </x:c>
      <x:c r="Y30" s="42" t="n">
        <x:v>1500</x:v>
      </x:c>
      <x:c r="Z30" s="42" t="n">
        <x:v>250</x:v>
      </x:c>
      <x:c r="AA30" s="42" t="n">
        <x:v>250</x:v>
      </x:c>
      <x:c r="AB30" s="42" t="n">
        <x:v>0.48</x:v>
      </x:c>
      <x:c r="AC30" s="42" t="n">
        <x:v>2</x:v>
      </x:c>
      <x:c r="AD30" s="42" t="n">
        <x:v>8000</x:v>
      </x:c>
      <x:c r="AE30" s="42" t="n">
        <x:v>0.87</x:v>
      </x:c>
      <x:c r="AF30" s="42" t="n">
        <x:v>0.87</x:v>
      </x:c>
      <x:c r="AG30" s="42" t="str">
        <x:v>Y</x:v>
      </x:c>
      <x:c r="AH30" s="42" t="n">
        <x:v>0.95</x:v>
      </x:c>
      <x:c r="AI30" s="42" t="n">
        <x:v>500</x:v>
      </x:c>
      <x:c r="AJ30" s="43" t="n">
        <x:v>63</x:v>
      </x:c>
    </x:row>
    <x:row r="31" ht="22" customHeight="1">
      <x:c r="A31" s="4" t="str">
        <x:v>S10-P03</x:v>
      </x:c>
      <x:c r="B31" s="4" t="str">
        <x:v>S10</x:v>
      </x:c>
      <x:c r="C31" s="4" t="str">
        <x:v>구파발점</x:v>
      </x:c>
      <x:c r="D31" s="4" t="str">
        <x:v>은평구</x:v>
      </x:c>
      <x:c r="E31" s="4" t="str">
        <x:v>P03</x:v>
      </x:c>
      <x:c r="F31" s="4" t="str">
        <x:v>서울우유200ml</x:v>
      </x:c>
      <x:c r="G31" s="4" t="str">
        <x:v>유제품</x:v>
      </x:c>
      <x:c r="H31" s="4" t="str">
        <x:v>유제품</x:v>
      </x:c>
      <x:c r="I31" s="42" t="n">
        <x:v>40</x:v>
      </x:c>
      <x:c r="J31" s="42" t="n">
        <x:v>40</x:v>
      </x:c>
      <x:c r="K31" s="42" t="n">
        <x:v>40</x:v>
      </x:c>
      <x:c r="L31" s="42" t="n">
        <x:v>40</x:v>
      </x:c>
      <x:c r="M31" s="42" t="n">
        <x:v>35.5</x:v>
      </x:c>
      <x:c r="N31" s="42" t="n">
        <x:v>1.33</x:v>
      </x:c>
      <x:c r="O31" s="42" t="n">
        <x:v>9</x:v>
      </x:c>
      <x:c r="P31" s="42" t="n">
        <x:v>40</x:v>
      </x:c>
      <x:c r="Q31" s="42" t="n">
        <x:v>40</x:v>
      </x:c>
      <x:c r="R31" s="42" t="n">
        <x:v>0</x:v>
      </x:c>
      <x:c r="S31" s="42" t="n">
        <x:v>0</x:v>
      </x:c>
      <x:c r="T31" s="42" t="n">
        <x:v>12</x:v>
      </x:c>
      <x:c r="U31" s="42" t="n">
        <x:v>12</x:v>
      </x:c>
      <x:c r="V31" s="42" t="n">
        <x:v>25</x:v>
      </x:c>
      <x:c r="W31" s="42" t="n">
        <x:v>25</x:v>
      </x:c>
      <x:c r="X31" s="42" t="n">
        <x:v>1090</x:v>
      </x:c>
      <x:c r="Y31" s="42" t="n">
        <x:v>1500</x:v>
      </x:c>
      <x:c r="Z31" s="42" t="n">
        <x:v>250</x:v>
      </x:c>
      <x:c r="AA31" s="42" t="n">
        <x:v>250</x:v>
      </x:c>
      <x:c r="AB31" s="42" t="n">
        <x:v>0.4</x:v>
      </x:c>
      <x:c r="AC31" s="42" t="n">
        <x:v>2</x:v>
      </x:c>
      <x:c r="AD31" s="42" t="n">
        <x:v>8000</x:v>
      </x:c>
      <x:c r="AE31" s="42" t="n">
        <x:v>0.87</x:v>
      </x:c>
      <x:c r="AF31" s="42" t="n">
        <x:v>0.87</x:v>
      </x:c>
      <x:c r="AG31" s="42" t="str">
        <x:v>Y</x:v>
      </x:c>
      <x:c r="AH31" s="42" t="n">
        <x:v>0.95</x:v>
      </x:c>
      <x:c r="AI31" s="42" t="n">
        <x:v>500</x:v>
      </x:c>
      <x:c r="AJ31" s="43" t="n">
        <x:v>63</x:v>
      </x:c>
    </x:row>
    <x:row r="32" ht="22" customHeight="1">
      <x:c r="A32" s="4" t="str">
        <x:v>S01-P04</x:v>
      </x:c>
      <x:c r="B32" s="4" t="str">
        <x:v>S01</x:v>
      </x:c>
      <x:c r="C32" s="4" t="str">
        <x:v>연신내점</x:v>
      </x:c>
      <x:c r="D32" s="4" t="str">
        <x:v>은평구</x:v>
      </x:c>
      <x:c r="E32" s="4" t="str">
        <x:v>P04</x:v>
      </x:c>
      <x:c r="F32" s="4" t="str">
        <x:v>혜자로운도시락</x:v>
      </x:c>
      <x:c r="G32" s="4" t="str">
        <x:v>도시락</x:v>
      </x:c>
      <x:c r="H32" s="4" t="str">
        <x:v>도시락</x:v>
      </x:c>
      <x:c r="I32" s="42" t="n">
        <x:v>42</x:v>
      </x:c>
      <x:c r="J32" s="42" t="n">
        <x:v>42</x:v>
      </x:c>
      <x:c r="K32" s="42" t="n">
        <x:v>42</x:v>
      </x:c>
      <x:c r="L32" s="42" t="n">
        <x:v>42</x:v>
      </x:c>
      <x:c r="M32" s="42" t="n">
        <x:v>37.5</x:v>
      </x:c>
      <x:c r="N32" s="42" t="n">
        <x:v>1.4</x:v>
      </x:c>
      <x:c r="O32" s="42" t="n">
        <x:v>9</x:v>
      </x:c>
      <x:c r="P32" s="42" t="n">
        <x:v>42</x:v>
      </x:c>
      <x:c r="Q32" s="42" t="n">
        <x:v>42</x:v>
      </x:c>
      <x:c r="R32" s="42" t="n">
        <x:v>0</x:v>
      </x:c>
      <x:c r="S32" s="42" t="n">
        <x:v>0</x:v>
      </x:c>
      <x:c r="T32" s="42" t="n">
        <x:v>10</x:v>
      </x:c>
      <x:c r="U32" s="42" t="n">
        <x:v>10</x:v>
      </x:c>
      <x:c r="V32" s="42" t="n">
        <x:v>25</x:v>
      </x:c>
      <x:c r="W32" s="42" t="n">
        <x:v>25</x:v>
      </x:c>
      <x:c r="X32" s="42" t="n">
        <x:v>3500</x:v>
      </x:c>
      <x:c r="Y32" s="42" t="n">
        <x:v>4900</x:v>
      </x:c>
      <x:c r="Z32" s="42" t="n">
        <x:v>700</x:v>
      </x:c>
      <x:c r="AA32" s="42" t="n">
        <x:v>700</x:v>
      </x:c>
      <x:c r="AB32" s="42" t="n">
        <x:v>0.42</x:v>
      </x:c>
      <x:c r="AC32" s="42" t="n">
        <x:v>1</x:v>
      </x:c>
      <x:c r="AD32" s="42" t="n">
        <x:v>12000</x:v>
      </x:c>
      <x:c r="AE32" s="42" t="n">
        <x:v>2.8</x:v>
      </x:c>
      <x:c r="AF32" s="42" t="n">
        <x:v>2.8</x:v>
      </x:c>
      <x:c r="AG32" s="42" t="str">
        <x:v>Y</x:v>
      </x:c>
      <x:c r="AH32" s="42" t="n">
        <x:v>0.95</x:v>
      </x:c>
      <x:c r="AI32" s="42" t="n">
        <x:v>500</x:v>
      </x:c>
      <x:c r="AJ32" s="43" t="n">
        <x:v>70</x:v>
      </x:c>
    </x:row>
    <x:row r="33" ht="22" customHeight="1">
      <x:c r="A33" s="4" t="str">
        <x:v>S02-P04</x:v>
      </x:c>
      <x:c r="B33" s="4" t="str">
        <x:v>S02</x:v>
      </x:c>
      <x:c r="C33" s="4" t="str">
        <x:v>불광점</x:v>
      </x:c>
      <x:c r="D33" s="4" t="str">
        <x:v>은평구</x:v>
      </x:c>
      <x:c r="E33" s="4" t="str">
        <x:v>P04</x:v>
      </x:c>
      <x:c r="F33" s="4" t="str">
        <x:v>혜자로운도시락</x:v>
      </x:c>
      <x:c r="G33" s="4" t="str">
        <x:v>도시락</x:v>
      </x:c>
      <x:c r="H33" s="4" t="str">
        <x:v>도시락</x:v>
      </x:c>
      <x:c r="I33" s="42" t="n">
        <x:v>44</x:v>
      </x:c>
      <x:c r="J33" s="42" t="n">
        <x:v>44</x:v>
      </x:c>
      <x:c r="K33" s="42" t="n">
        <x:v>44</x:v>
      </x:c>
      <x:c r="L33" s="42" t="n">
        <x:v>44</x:v>
      </x:c>
      <x:c r="M33" s="42" t="n">
        <x:v>39</x:v>
      </x:c>
      <x:c r="N33" s="42" t="n">
        <x:v>1.47</x:v>
      </x:c>
      <x:c r="O33" s="42" t="n">
        <x:v>10</x:v>
      </x:c>
      <x:c r="P33" s="42" t="n">
        <x:v>44</x:v>
      </x:c>
      <x:c r="Q33" s="42" t="n">
        <x:v>44</x:v>
      </x:c>
      <x:c r="R33" s="42" t="n">
        <x:v>0</x:v>
      </x:c>
      <x:c r="S33" s="42" t="n">
        <x:v>0</x:v>
      </x:c>
      <x:c r="T33" s="42" t="n">
        <x:v>10</x:v>
      </x:c>
      <x:c r="U33" s="42" t="n">
        <x:v>10</x:v>
      </x:c>
      <x:c r="V33" s="42" t="n">
        <x:v>25</x:v>
      </x:c>
      <x:c r="W33" s="42" t="n">
        <x:v>25</x:v>
      </x:c>
      <x:c r="X33" s="42" t="n">
        <x:v>3500</x:v>
      </x:c>
      <x:c r="Y33" s="42" t="n">
        <x:v>4900</x:v>
      </x:c>
      <x:c r="Z33" s="42" t="n">
        <x:v>700</x:v>
      </x:c>
      <x:c r="AA33" s="42" t="n">
        <x:v>700</x:v>
      </x:c>
      <x:c r="AB33" s="42" t="n">
        <x:v>0.44</x:v>
      </x:c>
      <x:c r="AC33" s="42" t="n">
        <x:v>1</x:v>
      </x:c>
      <x:c r="AD33" s="42" t="n">
        <x:v>12000</x:v>
      </x:c>
      <x:c r="AE33" s="42" t="n">
        <x:v>2.8</x:v>
      </x:c>
      <x:c r="AF33" s="42" t="n">
        <x:v>2.8</x:v>
      </x:c>
      <x:c r="AG33" s="42" t="str">
        <x:v>Y</x:v>
      </x:c>
      <x:c r="AH33" s="42" t="n">
        <x:v>0.95</x:v>
      </x:c>
      <x:c r="AI33" s="42" t="n">
        <x:v>500</x:v>
      </x:c>
      <x:c r="AJ33" s="43" t="n">
        <x:v>70</x:v>
      </x:c>
    </x:row>
    <x:row r="34" ht="22" customHeight="1">
      <x:c r="A34" s="4" t="str">
        <x:v>S03-P04</x:v>
      </x:c>
      <x:c r="B34" s="4" t="str">
        <x:v>S03</x:v>
      </x:c>
      <x:c r="C34" s="4" t="str">
        <x:v>응암점</x:v>
      </x:c>
      <x:c r="D34" s="4" t="str">
        <x:v>은평구</x:v>
      </x:c>
      <x:c r="E34" s="4" t="str">
        <x:v>P04</x:v>
      </x:c>
      <x:c r="F34" s="4" t="str">
        <x:v>혜자로운도시락</x:v>
      </x:c>
      <x:c r="G34" s="4" t="str">
        <x:v>도시락</x:v>
      </x:c>
      <x:c r="H34" s="4" t="str">
        <x:v>도시락</x:v>
      </x:c>
      <x:c r="I34" s="42" t="n">
        <x:v>46</x:v>
      </x:c>
      <x:c r="J34" s="42" t="n">
        <x:v>46</x:v>
      </x:c>
      <x:c r="K34" s="42" t="n">
        <x:v>46</x:v>
      </x:c>
      <x:c r="L34" s="42" t="n">
        <x:v>46</x:v>
      </x:c>
      <x:c r="M34" s="42" t="n">
        <x:v>41</x:v>
      </x:c>
      <x:c r="N34" s="42" t="n">
        <x:v>1.53</x:v>
      </x:c>
      <x:c r="O34" s="42" t="n">
        <x:v>10</x:v>
      </x:c>
      <x:c r="P34" s="42" t="n">
        <x:v>46</x:v>
      </x:c>
      <x:c r="Q34" s="42" t="n">
        <x:v>46</x:v>
      </x:c>
      <x:c r="R34" s="42" t="n">
        <x:v>0</x:v>
      </x:c>
      <x:c r="S34" s="42" t="n">
        <x:v>0</x:v>
      </x:c>
      <x:c r="T34" s="42" t="n">
        <x:v>10</x:v>
      </x:c>
      <x:c r="U34" s="42" t="n">
        <x:v>10</x:v>
      </x:c>
      <x:c r="V34" s="42" t="n">
        <x:v>25</x:v>
      </x:c>
      <x:c r="W34" s="42" t="n">
        <x:v>25</x:v>
      </x:c>
      <x:c r="X34" s="42" t="n">
        <x:v>3500</x:v>
      </x:c>
      <x:c r="Y34" s="42" t="n">
        <x:v>4900</x:v>
      </x:c>
      <x:c r="Z34" s="42" t="n">
        <x:v>700</x:v>
      </x:c>
      <x:c r="AA34" s="42" t="n">
        <x:v>700</x:v>
      </x:c>
      <x:c r="AB34" s="42" t="n">
        <x:v>0.46</x:v>
      </x:c>
      <x:c r="AC34" s="42" t="n">
        <x:v>1</x:v>
      </x:c>
      <x:c r="AD34" s="42" t="n">
        <x:v>12000</x:v>
      </x:c>
      <x:c r="AE34" s="42" t="n">
        <x:v>2.8</x:v>
      </x:c>
      <x:c r="AF34" s="42" t="n">
        <x:v>2.8</x:v>
      </x:c>
      <x:c r="AG34" s="42" t="str">
        <x:v>Y</x:v>
      </x:c>
      <x:c r="AH34" s="42" t="n">
        <x:v>0.95</x:v>
      </x:c>
      <x:c r="AI34" s="42" t="n">
        <x:v>500</x:v>
      </x:c>
      <x:c r="AJ34" s="43" t="n">
        <x:v>70</x:v>
      </x:c>
    </x:row>
    <x:row r="35" ht="22" customHeight="1">
      <x:c r="A35" s="4" t="str">
        <x:v>S04-P04</x:v>
      </x:c>
      <x:c r="B35" s="4" t="str">
        <x:v>S04</x:v>
      </x:c>
      <x:c r="C35" s="4" t="str">
        <x:v>홍제점</x:v>
      </x:c>
      <x:c r="D35" s="4" t="str">
        <x:v>서대문구</x:v>
      </x:c>
      <x:c r="E35" s="4" t="str">
        <x:v>P04</x:v>
      </x:c>
      <x:c r="F35" s="4" t="str">
        <x:v>혜자로운도시락</x:v>
      </x:c>
      <x:c r="G35" s="4" t="str">
        <x:v>도시락</x:v>
      </x:c>
      <x:c r="H35" s="4" t="str">
        <x:v>도시락</x:v>
      </x:c>
      <x:c r="I35" s="42" t="n">
        <x:v>48</x:v>
      </x:c>
      <x:c r="J35" s="42" t="n">
        <x:v>48</x:v>
      </x:c>
      <x:c r="K35" s="42" t="n">
        <x:v>48</x:v>
      </x:c>
      <x:c r="L35" s="42" t="n">
        <x:v>48</x:v>
      </x:c>
      <x:c r="M35" s="42" t="n">
        <x:v>42.5</x:v>
      </x:c>
      <x:c r="N35" s="42" t="n">
        <x:v>1.6</x:v>
      </x:c>
      <x:c r="O35" s="42" t="n">
        <x:v>11</x:v>
      </x:c>
      <x:c r="P35" s="42" t="n">
        <x:v>48</x:v>
      </x:c>
      <x:c r="Q35" s="42" t="n">
        <x:v>48</x:v>
      </x:c>
      <x:c r="R35" s="42" t="n">
        <x:v>0</x:v>
      </x:c>
      <x:c r="S35" s="42" t="n">
        <x:v>0</x:v>
      </x:c>
      <x:c r="T35" s="42" t="n">
        <x:v>10</x:v>
      </x:c>
      <x:c r="U35" s="42" t="n">
        <x:v>10</x:v>
      </x:c>
      <x:c r="V35" s="42" t="n">
        <x:v>25</x:v>
      </x:c>
      <x:c r="W35" s="42" t="n">
        <x:v>25</x:v>
      </x:c>
      <x:c r="X35" s="42" t="n">
        <x:v>3500</x:v>
      </x:c>
      <x:c r="Y35" s="42" t="n">
        <x:v>4900</x:v>
      </x:c>
      <x:c r="Z35" s="42" t="n">
        <x:v>700</x:v>
      </x:c>
      <x:c r="AA35" s="42" t="n">
        <x:v>700</x:v>
      </x:c>
      <x:c r="AB35" s="42" t="n">
        <x:v>0.48</x:v>
      </x:c>
      <x:c r="AC35" s="42" t="n">
        <x:v>1</x:v>
      </x:c>
      <x:c r="AD35" s="42" t="n">
        <x:v>12000</x:v>
      </x:c>
      <x:c r="AE35" s="42" t="n">
        <x:v>2.8</x:v>
      </x:c>
      <x:c r="AF35" s="42" t="n">
        <x:v>2.8</x:v>
      </x:c>
      <x:c r="AG35" s="42" t="str">
        <x:v>Y</x:v>
      </x:c>
      <x:c r="AH35" s="42" t="n">
        <x:v>0.95</x:v>
      </x:c>
      <x:c r="AI35" s="42" t="n">
        <x:v>500</x:v>
      </x:c>
      <x:c r="AJ35" s="43" t="n">
        <x:v>70</x:v>
      </x:c>
    </x:row>
    <x:row r="36" ht="22" customHeight="1">
      <x:c r="A36" s="4" t="str">
        <x:v>S05-P04</x:v>
      </x:c>
      <x:c r="B36" s="4" t="str">
        <x:v>S05</x:v>
      </x:c>
      <x:c r="C36" s="4" t="str">
        <x:v>신촌점</x:v>
      </x:c>
      <x:c r="D36" s="4" t="str">
        <x:v>서대문구</x:v>
      </x:c>
      <x:c r="E36" s="4" t="str">
        <x:v>P04</x:v>
      </x:c>
      <x:c r="F36" s="4" t="str">
        <x:v>혜자로운도시락</x:v>
      </x:c>
      <x:c r="G36" s="4" t="str">
        <x:v>도시락</x:v>
      </x:c>
      <x:c r="H36" s="4" t="str">
        <x:v>도시락</x:v>
      </x:c>
      <x:c r="I36" s="42" t="n">
        <x:v>110</x:v>
      </x:c>
      <x:c r="J36" s="42" t="n">
        <x:v>110</x:v>
      </x:c>
      <x:c r="K36" s="42" t="n">
        <x:v>110</x:v>
      </x:c>
      <x:c r="L36" s="42" t="n">
        <x:v>110</x:v>
      </x:c>
      <x:c r="M36" s="42" t="n">
        <x:v>108.5</x:v>
      </x:c>
      <x:c r="N36" s="42" t="n">
        <x:v>0.4</x:v>
      </x:c>
      <x:c r="O36" s="42" t="n">
        <x:v>3</x:v>
      </x:c>
      <x:c r="P36" s="42" t="n">
        <x:v>12</x:v>
      </x:c>
      <x:c r="Q36" s="42" t="n">
        <x:v>12</x:v>
      </x:c>
      <x:c r="R36" s="42" t="n">
        <x:v>98</x:v>
      </x:c>
      <x:c r="S36" s="42" t="n">
        <x:v>0</x:v>
      </x:c>
      <x:c r="T36" s="42" t="n">
        <x:v>2</x:v>
      </x:c>
      <x:c r="U36" s="42" t="n">
        <x:v>2</x:v>
      </x:c>
      <x:c r="V36" s="42" t="n">
        <x:v>70</x:v>
      </x:c>
      <x:c r="W36" s="42" t="n">
        <x:v>70</x:v>
      </x:c>
      <x:c r="X36" s="42" t="n">
        <x:v>3500</x:v>
      </x:c>
      <x:c r="Y36" s="42" t="n">
        <x:v>4900</x:v>
      </x:c>
      <x:c r="Z36" s="42" t="n">
        <x:v>700</x:v>
      </x:c>
      <x:c r="AA36" s="42" t="n">
        <x:v>700</x:v>
      </x:c>
      <x:c r="AB36" s="42" t="n">
        <x:v>0.2</x:v>
      </x:c>
      <x:c r="AC36" s="42" t="n">
        <x:v>1</x:v>
      </x:c>
      <x:c r="AD36" s="42" t="n">
        <x:v>12000</x:v>
      </x:c>
      <x:c r="AE36" s="42" t="n">
        <x:v>2.8</x:v>
      </x:c>
      <x:c r="AF36" s="42" t="n">
        <x:v>2.8</x:v>
      </x:c>
      <x:c r="AG36" s="42" t="str">
        <x:v>Y</x:v>
      </x:c>
      <x:c r="AH36" s="42" t="n">
        <x:v>0.95</x:v>
      </x:c>
      <x:c r="AI36" s="42" t="n">
        <x:v>500</x:v>
      </x:c>
      <x:c r="AJ36" s="43" t="n">
        <x:v>98</x:v>
      </x:c>
    </x:row>
    <x:row r="37" ht="22" customHeight="1">
      <x:c r="A37" s="4" t="str">
        <x:v>S06-P04</x:v>
      </x:c>
      <x:c r="B37" s="4" t="str">
        <x:v>S06</x:v>
      </x:c>
      <x:c r="C37" s="4" t="str">
        <x:v>마포점</x:v>
      </x:c>
      <x:c r="D37" s="4" t="str">
        <x:v>마포구</x:v>
      </x:c>
      <x:c r="E37" s="4" t="str">
        <x:v>P04</x:v>
      </x:c>
      <x:c r="F37" s="4" t="str">
        <x:v>혜자로운도시락</x:v>
      </x:c>
      <x:c r="G37" s="4" t="str">
        <x:v>도시락</x:v>
      </x:c>
      <x:c r="H37" s="4" t="str">
        <x:v>도시락</x:v>
      </x:c>
      <x:c r="I37" s="42" t="n">
        <x:v>42</x:v>
      </x:c>
      <x:c r="J37" s="42" t="n">
        <x:v>42</x:v>
      </x:c>
      <x:c r="K37" s="42" t="n">
        <x:v>42</x:v>
      </x:c>
      <x:c r="L37" s="42" t="n">
        <x:v>42</x:v>
      </x:c>
      <x:c r="M37" s="42" t="n">
        <x:v>37.5</x:v>
      </x:c>
      <x:c r="N37" s="42" t="n">
        <x:v>1.4</x:v>
      </x:c>
      <x:c r="O37" s="42" t="n">
        <x:v>9</x:v>
      </x:c>
      <x:c r="P37" s="42" t="n">
        <x:v>42</x:v>
      </x:c>
      <x:c r="Q37" s="42" t="n">
        <x:v>42</x:v>
      </x:c>
      <x:c r="R37" s="42" t="n">
        <x:v>0</x:v>
      </x:c>
      <x:c r="S37" s="42" t="n">
        <x:v>0</x:v>
      </x:c>
      <x:c r="T37" s="42" t="n">
        <x:v>10</x:v>
      </x:c>
      <x:c r="U37" s="42" t="n">
        <x:v>10</x:v>
      </x:c>
      <x:c r="V37" s="42" t="n">
        <x:v>25</x:v>
      </x:c>
      <x:c r="W37" s="42" t="n">
        <x:v>25</x:v>
      </x:c>
      <x:c r="X37" s="42" t="n">
        <x:v>3500</x:v>
      </x:c>
      <x:c r="Y37" s="42" t="n">
        <x:v>4900</x:v>
      </x:c>
      <x:c r="Z37" s="42" t="n">
        <x:v>700</x:v>
      </x:c>
      <x:c r="AA37" s="42" t="n">
        <x:v>700</x:v>
      </x:c>
      <x:c r="AB37" s="42" t="n">
        <x:v>0.42</x:v>
      </x:c>
      <x:c r="AC37" s="42" t="n">
        <x:v>1</x:v>
      </x:c>
      <x:c r="AD37" s="42" t="n">
        <x:v>12000</x:v>
      </x:c>
      <x:c r="AE37" s="42" t="n">
        <x:v>2.8</x:v>
      </x:c>
      <x:c r="AF37" s="42" t="n">
        <x:v>2.8</x:v>
      </x:c>
      <x:c r="AG37" s="42" t="str">
        <x:v>Y</x:v>
      </x:c>
      <x:c r="AH37" s="42" t="n">
        <x:v>0.95</x:v>
      </x:c>
      <x:c r="AI37" s="42" t="n">
        <x:v>500</x:v>
      </x:c>
      <x:c r="AJ37" s="43" t="n">
        <x:v>70</x:v>
      </x:c>
    </x:row>
    <x:row r="38" ht="22" customHeight="1">
      <x:c r="A38" s="4" t="str">
        <x:v>S07-P04</x:v>
      </x:c>
      <x:c r="B38" s="4" t="str">
        <x:v>S07</x:v>
      </x:c>
      <x:c r="C38" s="4" t="str">
        <x:v>종로점</x:v>
      </x:c>
      <x:c r="D38" s="4" t="str">
        <x:v>종로구</x:v>
      </x:c>
      <x:c r="E38" s="4" t="str">
        <x:v>P04</x:v>
      </x:c>
      <x:c r="F38" s="4" t="str">
        <x:v>혜자로운도시락</x:v>
      </x:c>
      <x:c r="G38" s="4" t="str">
        <x:v>도시락</x:v>
      </x:c>
      <x:c r="H38" s="4" t="str">
        <x:v>도시락</x:v>
      </x:c>
      <x:c r="I38" s="42" t="n">
        <x:v>44</x:v>
      </x:c>
      <x:c r="J38" s="42" t="n">
        <x:v>44</x:v>
      </x:c>
      <x:c r="K38" s="42" t="n">
        <x:v>44</x:v>
      </x:c>
      <x:c r="L38" s="42" t="n">
        <x:v>44</x:v>
      </x:c>
      <x:c r="M38" s="42" t="n">
        <x:v>39</x:v>
      </x:c>
      <x:c r="N38" s="42" t="n">
        <x:v>1.47</x:v>
      </x:c>
      <x:c r="O38" s="42" t="n">
        <x:v>10</x:v>
      </x:c>
      <x:c r="P38" s="42" t="n">
        <x:v>44</x:v>
      </x:c>
      <x:c r="Q38" s="42" t="n">
        <x:v>44</x:v>
      </x:c>
      <x:c r="R38" s="42" t="n">
        <x:v>0</x:v>
      </x:c>
      <x:c r="S38" s="42" t="n">
        <x:v>0</x:v>
      </x:c>
      <x:c r="T38" s="42" t="n">
        <x:v>10</x:v>
      </x:c>
      <x:c r="U38" s="42" t="n">
        <x:v>10</x:v>
      </x:c>
      <x:c r="V38" s="42" t="n">
        <x:v>25</x:v>
      </x:c>
      <x:c r="W38" s="42" t="n">
        <x:v>25</x:v>
      </x:c>
      <x:c r="X38" s="42" t="n">
        <x:v>3500</x:v>
      </x:c>
      <x:c r="Y38" s="42" t="n">
        <x:v>4900</x:v>
      </x:c>
      <x:c r="Z38" s="42" t="n">
        <x:v>700</x:v>
      </x:c>
      <x:c r="AA38" s="42" t="n">
        <x:v>700</x:v>
      </x:c>
      <x:c r="AB38" s="42" t="n">
        <x:v>0.44</x:v>
      </x:c>
      <x:c r="AC38" s="42" t="n">
        <x:v>1</x:v>
      </x:c>
      <x:c r="AD38" s="42" t="n">
        <x:v>12000</x:v>
      </x:c>
      <x:c r="AE38" s="42" t="n">
        <x:v>2.8</x:v>
      </x:c>
      <x:c r="AF38" s="42" t="n">
        <x:v>2.8</x:v>
      </x:c>
      <x:c r="AG38" s="42" t="str">
        <x:v>Y</x:v>
      </x:c>
      <x:c r="AH38" s="42" t="n">
        <x:v>0.95</x:v>
      </x:c>
      <x:c r="AI38" s="42" t="n">
        <x:v>500</x:v>
      </x:c>
      <x:c r="AJ38" s="43" t="n">
        <x:v>70</x:v>
      </x:c>
    </x:row>
    <x:row r="39" ht="22" customHeight="1">
      <x:c r="A39" s="4" t="str">
        <x:v>S08-P04</x:v>
      </x:c>
      <x:c r="B39" s="4" t="str">
        <x:v>S08</x:v>
      </x:c>
      <x:c r="C39" s="4" t="str">
        <x:v>용산점</x:v>
      </x:c>
      <x:c r="D39" s="4" t="str">
        <x:v>용산구</x:v>
      </x:c>
      <x:c r="E39" s="4" t="str">
        <x:v>P04</x:v>
      </x:c>
      <x:c r="F39" s="4" t="str">
        <x:v>혜자로운도시락</x:v>
      </x:c>
      <x:c r="G39" s="4" t="str">
        <x:v>도시락</x:v>
      </x:c>
      <x:c r="H39" s="4" t="str">
        <x:v>도시락</x:v>
      </x:c>
      <x:c r="I39" s="42" t="n">
        <x:v>46</x:v>
      </x:c>
      <x:c r="J39" s="42" t="n">
        <x:v>46</x:v>
      </x:c>
      <x:c r="K39" s="42" t="n">
        <x:v>46</x:v>
      </x:c>
      <x:c r="L39" s="42" t="n">
        <x:v>46</x:v>
      </x:c>
      <x:c r="M39" s="42" t="n">
        <x:v>41</x:v>
      </x:c>
      <x:c r="N39" s="42" t="n">
        <x:v>1.53</x:v>
      </x:c>
      <x:c r="O39" s="42" t="n">
        <x:v>10</x:v>
      </x:c>
      <x:c r="P39" s="42" t="n">
        <x:v>46</x:v>
      </x:c>
      <x:c r="Q39" s="42" t="n">
        <x:v>46</x:v>
      </x:c>
      <x:c r="R39" s="42" t="n">
        <x:v>0</x:v>
      </x:c>
      <x:c r="S39" s="42" t="n">
        <x:v>0</x:v>
      </x:c>
      <x:c r="T39" s="42" t="n">
        <x:v>10</x:v>
      </x:c>
      <x:c r="U39" s="42" t="n">
        <x:v>10</x:v>
      </x:c>
      <x:c r="V39" s="42" t="n">
        <x:v>25</x:v>
      </x:c>
      <x:c r="W39" s="42" t="n">
        <x:v>25</x:v>
      </x:c>
      <x:c r="X39" s="42" t="n">
        <x:v>3500</x:v>
      </x:c>
      <x:c r="Y39" s="42" t="n">
        <x:v>4900</x:v>
      </x:c>
      <x:c r="Z39" s="42" t="n">
        <x:v>700</x:v>
      </x:c>
      <x:c r="AA39" s="42" t="n">
        <x:v>700</x:v>
      </x:c>
      <x:c r="AB39" s="42" t="n">
        <x:v>0.46</x:v>
      </x:c>
      <x:c r="AC39" s="42" t="n">
        <x:v>1</x:v>
      </x:c>
      <x:c r="AD39" s="42" t="n">
        <x:v>12000</x:v>
      </x:c>
      <x:c r="AE39" s="42" t="n">
        <x:v>2.8</x:v>
      </x:c>
      <x:c r="AF39" s="42" t="n">
        <x:v>2.8</x:v>
      </x:c>
      <x:c r="AG39" s="42" t="str">
        <x:v>Y</x:v>
      </x:c>
      <x:c r="AH39" s="42" t="n">
        <x:v>0.95</x:v>
      </x:c>
      <x:c r="AI39" s="42" t="n">
        <x:v>500</x:v>
      </x:c>
      <x:c r="AJ39" s="43" t="n">
        <x:v>70</x:v>
      </x:c>
    </x:row>
    <x:row r="40" ht="22" customHeight="1">
      <x:c r="A40" s="4" t="str">
        <x:v>S09-P04</x:v>
      </x:c>
      <x:c r="B40" s="4" t="str">
        <x:v>S09</x:v>
      </x:c>
      <x:c r="C40" s="4" t="str">
        <x:v>상암점</x:v>
      </x:c>
      <x:c r="D40" s="4" t="str">
        <x:v>마포구</x:v>
      </x:c>
      <x:c r="E40" s="4" t="str">
        <x:v>P04</x:v>
      </x:c>
      <x:c r="F40" s="4" t="str">
        <x:v>혜자로운도시락</x:v>
      </x:c>
      <x:c r="G40" s="4" t="str">
        <x:v>도시락</x:v>
      </x:c>
      <x:c r="H40" s="4" t="str">
        <x:v>도시락</x:v>
      </x:c>
      <x:c r="I40" s="42" t="n">
        <x:v>8</x:v>
      </x:c>
      <x:c r="J40" s="42" t="n">
        <x:v>8</x:v>
      </x:c>
      <x:c r="K40" s="42" t="n">
        <x:v>8</x:v>
      </x:c>
      <x:c r="L40" s="42" t="n">
        <x:v>8</x:v>
      </x:c>
      <x:c r="M40" s="42" t="n">
        <x:v>4</x:v>
      </x:c>
      <x:c r="N40" s="42" t="n">
        <x:v>2.5</x:v>
      </x:c>
      <x:c r="O40" s="42" t="n">
        <x:v>18</x:v>
      </x:c>
      <x:c r="P40" s="42" t="n">
        <x:v>75</x:v>
      </x:c>
      <x:c r="Q40" s="42" t="n">
        <x:v>75</x:v>
      </x:c>
      <x:c r="R40" s="42" t="n">
        <x:v>0</x:v>
      </x:c>
      <x:c r="S40" s="42" t="n">
        <x:v>67</x:v>
      </x:c>
      <x:c r="T40" s="42" t="n">
        <x:v>7</x:v>
      </x:c>
      <x:c r="U40" s="42" t="n">
        <x:v>7</x:v>
      </x:c>
      <x:c r="V40" s="42" t="n">
        <x:v>15</x:v>
      </x:c>
      <x:c r="W40" s="42" t="n">
        <x:v>15</x:v>
      </x:c>
      <x:c r="X40" s="42" t="n">
        <x:v>3500</x:v>
      </x:c>
      <x:c r="Y40" s="42" t="n">
        <x:v>4900</x:v>
      </x:c>
      <x:c r="Z40" s="42" t="n">
        <x:v>700</x:v>
      </x:c>
      <x:c r="AA40" s="42" t="n">
        <x:v>700</x:v>
      </x:c>
      <x:c r="AB40" s="42" t="n">
        <x:v>0.75</x:v>
      </x:c>
      <x:c r="AC40" s="42" t="n">
        <x:v>1</x:v>
      </x:c>
      <x:c r="AD40" s="42" t="n">
        <x:v>12000</x:v>
      </x:c>
      <x:c r="AE40" s="42" t="n">
        <x:v>2.8</x:v>
      </x:c>
      <x:c r="AF40" s="42" t="n">
        <x:v>2.8</x:v>
      </x:c>
      <x:c r="AG40" s="42" t="str">
        <x:v>Y</x:v>
      </x:c>
      <x:c r="AH40" s="42" t="n">
        <x:v>0.95</x:v>
      </x:c>
      <x:c r="AI40" s="42" t="n">
        <x:v>500</x:v>
      </x:c>
      <x:c r="AJ40" s="43" t="n">
        <x:v>80.5</x:v>
      </x:c>
    </x:row>
    <x:row r="41" ht="22" customHeight="1">
      <x:c r="A41" s="4" t="str">
        <x:v>S10-P04</x:v>
      </x:c>
      <x:c r="B41" s="4" t="str">
        <x:v>S10</x:v>
      </x:c>
      <x:c r="C41" s="4" t="str">
        <x:v>구파발점</x:v>
      </x:c>
      <x:c r="D41" s="4" t="str">
        <x:v>은평구</x:v>
      </x:c>
      <x:c r="E41" s="4" t="str">
        <x:v>P04</x:v>
      </x:c>
      <x:c r="F41" s="4" t="str">
        <x:v>혜자로운도시락</x:v>
      </x:c>
      <x:c r="G41" s="4" t="str">
        <x:v>도시락</x:v>
      </x:c>
      <x:c r="H41" s="4" t="str">
        <x:v>도시락</x:v>
      </x:c>
      <x:c r="I41" s="42" t="n">
        <x:v>40</x:v>
      </x:c>
      <x:c r="J41" s="42" t="n">
        <x:v>40</x:v>
      </x:c>
      <x:c r="K41" s="42" t="n">
        <x:v>40</x:v>
      </x:c>
      <x:c r="L41" s="42" t="n">
        <x:v>40</x:v>
      </x:c>
      <x:c r="M41" s="42" t="n">
        <x:v>35.5</x:v>
      </x:c>
      <x:c r="N41" s="42" t="n">
        <x:v>1.33</x:v>
      </x:c>
      <x:c r="O41" s="42" t="n">
        <x:v>9</x:v>
      </x:c>
      <x:c r="P41" s="42" t="n">
        <x:v>40</x:v>
      </x:c>
      <x:c r="Q41" s="42" t="n">
        <x:v>40</x:v>
      </x:c>
      <x:c r="R41" s="42" t="n">
        <x:v>0</x:v>
      </x:c>
      <x:c r="S41" s="42" t="n">
        <x:v>0</x:v>
      </x:c>
      <x:c r="T41" s="42" t="n">
        <x:v>10</x:v>
      </x:c>
      <x:c r="U41" s="42" t="n">
        <x:v>10</x:v>
      </x:c>
      <x:c r="V41" s="42" t="n">
        <x:v>25</x:v>
      </x:c>
      <x:c r="W41" s="42" t="n">
        <x:v>25</x:v>
      </x:c>
      <x:c r="X41" s="42" t="n">
        <x:v>3500</x:v>
      </x:c>
      <x:c r="Y41" s="42" t="n">
        <x:v>4900</x:v>
      </x:c>
      <x:c r="Z41" s="42" t="n">
        <x:v>700</x:v>
      </x:c>
      <x:c r="AA41" s="42" t="n">
        <x:v>700</x:v>
      </x:c>
      <x:c r="AB41" s="42" t="n">
        <x:v>0.4</x:v>
      </x:c>
      <x:c r="AC41" s="42" t="n">
        <x:v>1</x:v>
      </x:c>
      <x:c r="AD41" s="42" t="n">
        <x:v>12000</x:v>
      </x:c>
      <x:c r="AE41" s="42" t="n">
        <x:v>2.8</x:v>
      </x:c>
      <x:c r="AF41" s="42" t="n">
        <x:v>2.8</x:v>
      </x:c>
      <x:c r="AG41" s="42" t="str">
        <x:v>Y</x:v>
      </x:c>
      <x:c r="AH41" s="42" t="n">
        <x:v>0.95</x:v>
      </x:c>
      <x:c r="AI41" s="42" t="n">
        <x:v>500</x:v>
      </x:c>
      <x:c r="AJ41" s="43" t="n">
        <x:v>70</x:v>
      </x:c>
    </x:row>
    <x:row r="42" ht="22" customHeight="1">
      <x:c r="A42" s="4" t="str">
        <x:v>S01-P05</x:v>
      </x:c>
      <x:c r="B42" s="4" t="str">
        <x:v>S01</x:v>
      </x:c>
      <x:c r="C42" s="4" t="str">
        <x:v>연신내점</x:v>
      </x:c>
      <x:c r="D42" s="4" t="str">
        <x:v>은평구</x:v>
      </x:c>
      <x:c r="E42" s="4" t="str">
        <x:v>P05</x:v>
      </x:c>
      <x:c r="F42" s="4" t="str">
        <x:v>제주삼다수2L</x:v>
      </x:c>
      <x:c r="G42" s="4" t="str">
        <x:v>음료</x:v>
      </x:c>
      <x:c r="H42" s="4" t="str">
        <x:v>음료</x:v>
      </x:c>
      <x:c r="I42" s="42" t="n">
        <x:v>42</x:v>
      </x:c>
      <x:c r="J42" s="42" t="n">
        <x:v>42</x:v>
      </x:c>
      <x:c r="K42" s="42" t="n">
        <x:v>42</x:v>
      </x:c>
      <x:c r="L42" s="42" t="n">
        <x:v>42</x:v>
      </x:c>
      <x:c r="M42" s="42" t="n">
        <x:v>37.5</x:v>
      </x:c>
      <x:c r="N42" s="42" t="n">
        <x:v>1.4</x:v>
      </x:c>
      <x:c r="O42" s="42" t="n">
        <x:v>9</x:v>
      </x:c>
      <x:c r="P42" s="42" t="n">
        <x:v>42</x:v>
      </x:c>
      <x:c r="Q42" s="42" t="n">
        <x:v>42</x:v>
      </x:c>
      <x:c r="R42" s="42" t="n">
        <x:v>0</x:v>
      </x:c>
      <x:c r="S42" s="42" t="n">
        <x:v>0</x:v>
      </x:c>
      <x:c r="T42" s="42" t="n">
        <x:v>24</x:v>
      </x:c>
      <x:c r="U42" s="42" t="n">
        <x:v>24</x:v>
      </x:c>
      <x:c r="V42" s="42" t="n">
        <x:v>25</x:v>
      </x:c>
      <x:c r="W42" s="42" t="n">
        <x:v>25</x:v>
      </x:c>
      <x:c r="X42" s="42" t="n">
        <x:v>1500</x:v>
      </x:c>
      <x:c r="Y42" s="42" t="n">
        <x:v>2000</x:v>
      </x:c>
      <x:c r="Z42" s="42" t="n">
        <x:v>220</x:v>
      </x:c>
      <x:c r="AA42" s="42" t="n">
        <x:v>220</x:v>
      </x:c>
      <x:c r="AB42" s="42" t="n">
        <x:v>0.42</x:v>
      </x:c>
      <x:c r="AC42" s="42" t="n">
        <x:v>4</x:v>
      </x:c>
      <x:c r="AD42" s="42" t="n">
        <x:v>8000</x:v>
      </x:c>
      <x:c r="AE42" s="42" t="n">
        <x:v>1.2</x:v>
      </x:c>
      <x:c r="AF42" s="42" t="n">
        <x:v>1.2</x:v>
      </x:c>
      <x:c r="AG42" s="42" t="str">
        <x:v>N</x:v>
      </x:c>
      <x:c r="AH42" s="42" t="n">
        <x:v>0.95</x:v>
      </x:c>
      <x:c r="AI42" s="42" t="n">
        <x:v>500</x:v>
      </x:c>
      <x:c r="AJ42" s="43" t="n">
        <x:v>21</x:v>
      </x:c>
    </x:row>
    <x:row r="43" ht="22" customHeight="1">
      <x:c r="A43" s="4" t="str">
        <x:v>S02-P05</x:v>
      </x:c>
      <x:c r="B43" s="4" t="str">
        <x:v>S02</x:v>
      </x:c>
      <x:c r="C43" s="4" t="str">
        <x:v>불광점</x:v>
      </x:c>
      <x:c r="D43" s="4" t="str">
        <x:v>은평구</x:v>
      </x:c>
      <x:c r="E43" s="4" t="str">
        <x:v>P05</x:v>
      </x:c>
      <x:c r="F43" s="4" t="str">
        <x:v>제주삼다수2L</x:v>
      </x:c>
      <x:c r="G43" s="4" t="str">
        <x:v>음료</x:v>
      </x:c>
      <x:c r="H43" s="4" t="str">
        <x:v>음료</x:v>
      </x:c>
      <x:c r="I43" s="42" t="n">
        <x:v>44</x:v>
      </x:c>
      <x:c r="J43" s="42" t="n">
        <x:v>44</x:v>
      </x:c>
      <x:c r="K43" s="42" t="n">
        <x:v>44</x:v>
      </x:c>
      <x:c r="L43" s="42" t="n">
        <x:v>44</x:v>
      </x:c>
      <x:c r="M43" s="42" t="n">
        <x:v>39</x:v>
      </x:c>
      <x:c r="N43" s="42" t="n">
        <x:v>1.47</x:v>
      </x:c>
      <x:c r="O43" s="42" t="n">
        <x:v>10</x:v>
      </x:c>
      <x:c r="P43" s="42" t="n">
        <x:v>44</x:v>
      </x:c>
      <x:c r="Q43" s="42" t="n">
        <x:v>44</x:v>
      </x:c>
      <x:c r="R43" s="42" t="n">
        <x:v>0</x:v>
      </x:c>
      <x:c r="S43" s="42" t="n">
        <x:v>0</x:v>
      </x:c>
      <x:c r="T43" s="42" t="n">
        <x:v>24</x:v>
      </x:c>
      <x:c r="U43" s="42" t="n">
        <x:v>24</x:v>
      </x:c>
      <x:c r="V43" s="42" t="n">
        <x:v>25</x:v>
      </x:c>
      <x:c r="W43" s="42" t="n">
        <x:v>25</x:v>
      </x:c>
      <x:c r="X43" s="42" t="n">
        <x:v>1500</x:v>
      </x:c>
      <x:c r="Y43" s="42" t="n">
        <x:v>2000</x:v>
      </x:c>
      <x:c r="Z43" s="42" t="n">
        <x:v>220</x:v>
      </x:c>
      <x:c r="AA43" s="42" t="n">
        <x:v>220</x:v>
      </x:c>
      <x:c r="AB43" s="42" t="n">
        <x:v>0.44</x:v>
      </x:c>
      <x:c r="AC43" s="42" t="n">
        <x:v>4</x:v>
      </x:c>
      <x:c r="AD43" s="42" t="n">
        <x:v>8000</x:v>
      </x:c>
      <x:c r="AE43" s="42" t="n">
        <x:v>1.2</x:v>
      </x:c>
      <x:c r="AF43" s="42" t="n">
        <x:v>1.2</x:v>
      </x:c>
      <x:c r="AG43" s="42" t="str">
        <x:v>N</x:v>
      </x:c>
      <x:c r="AH43" s="42" t="n">
        <x:v>0.95</x:v>
      </x:c>
      <x:c r="AI43" s="42" t="n">
        <x:v>500</x:v>
      </x:c>
      <x:c r="AJ43" s="43" t="n">
        <x:v>21</x:v>
      </x:c>
    </x:row>
    <x:row r="44" ht="22" customHeight="1">
      <x:c r="A44" s="4" t="str">
        <x:v>S03-P05</x:v>
      </x:c>
      <x:c r="B44" s="4" t="str">
        <x:v>S03</x:v>
      </x:c>
      <x:c r="C44" s="4" t="str">
        <x:v>응암점</x:v>
      </x:c>
      <x:c r="D44" s="4" t="str">
        <x:v>은평구</x:v>
      </x:c>
      <x:c r="E44" s="4" t="str">
        <x:v>P05</x:v>
      </x:c>
      <x:c r="F44" s="4" t="str">
        <x:v>제주삼다수2L</x:v>
      </x:c>
      <x:c r="G44" s="4" t="str">
        <x:v>음료</x:v>
      </x:c>
      <x:c r="H44" s="4" t="str">
        <x:v>음료</x:v>
      </x:c>
      <x:c r="I44" s="42" t="n">
        <x:v>46</x:v>
      </x:c>
      <x:c r="J44" s="42" t="n">
        <x:v>46</x:v>
      </x:c>
      <x:c r="K44" s="42" t="n">
        <x:v>46</x:v>
      </x:c>
      <x:c r="L44" s="42" t="n">
        <x:v>46</x:v>
      </x:c>
      <x:c r="M44" s="42" t="n">
        <x:v>41</x:v>
      </x:c>
      <x:c r="N44" s="42" t="n">
        <x:v>1.53</x:v>
      </x:c>
      <x:c r="O44" s="42" t="n">
        <x:v>10</x:v>
      </x:c>
      <x:c r="P44" s="42" t="n">
        <x:v>46</x:v>
      </x:c>
      <x:c r="Q44" s="42" t="n">
        <x:v>46</x:v>
      </x:c>
      <x:c r="R44" s="42" t="n">
        <x:v>0</x:v>
      </x:c>
      <x:c r="S44" s="42" t="n">
        <x:v>0</x:v>
      </x:c>
      <x:c r="T44" s="42" t="n">
        <x:v>24</x:v>
      </x:c>
      <x:c r="U44" s="42" t="n">
        <x:v>24</x:v>
      </x:c>
      <x:c r="V44" s="42" t="n">
        <x:v>25</x:v>
      </x:c>
      <x:c r="W44" s="42" t="n">
        <x:v>25</x:v>
      </x:c>
      <x:c r="X44" s="42" t="n">
        <x:v>1500</x:v>
      </x:c>
      <x:c r="Y44" s="42" t="n">
        <x:v>2000</x:v>
      </x:c>
      <x:c r="Z44" s="42" t="n">
        <x:v>220</x:v>
      </x:c>
      <x:c r="AA44" s="42" t="n">
        <x:v>220</x:v>
      </x:c>
      <x:c r="AB44" s="42" t="n">
        <x:v>0.46</x:v>
      </x:c>
      <x:c r="AC44" s="42" t="n">
        <x:v>4</x:v>
      </x:c>
      <x:c r="AD44" s="42" t="n">
        <x:v>8000</x:v>
      </x:c>
      <x:c r="AE44" s="42" t="n">
        <x:v>1.2</x:v>
      </x:c>
      <x:c r="AF44" s="42" t="n">
        <x:v>1.2</x:v>
      </x:c>
      <x:c r="AG44" s="42" t="str">
        <x:v>N</x:v>
      </x:c>
      <x:c r="AH44" s="42" t="n">
        <x:v>0.95</x:v>
      </x:c>
      <x:c r="AI44" s="42" t="n">
        <x:v>500</x:v>
      </x:c>
      <x:c r="AJ44" s="43" t="n">
        <x:v>21</x:v>
      </x:c>
    </x:row>
    <x:row r="45" ht="22" customHeight="1">
      <x:c r="A45" s="4" t="str">
        <x:v>S04-P05</x:v>
      </x:c>
      <x:c r="B45" s="4" t="str">
        <x:v>S04</x:v>
      </x:c>
      <x:c r="C45" s="4" t="str">
        <x:v>홍제점</x:v>
      </x:c>
      <x:c r="D45" s="4" t="str">
        <x:v>서대문구</x:v>
      </x:c>
      <x:c r="E45" s="4" t="str">
        <x:v>P05</x:v>
      </x:c>
      <x:c r="F45" s="4" t="str">
        <x:v>제주삼다수2L</x:v>
      </x:c>
      <x:c r="G45" s="4" t="str">
        <x:v>음료</x:v>
      </x:c>
      <x:c r="H45" s="4" t="str">
        <x:v>음료</x:v>
      </x:c>
      <x:c r="I45" s="42" t="n">
        <x:v>48</x:v>
      </x:c>
      <x:c r="J45" s="42" t="n">
        <x:v>48</x:v>
      </x:c>
      <x:c r="K45" s="42" t="n">
        <x:v>48</x:v>
      </x:c>
      <x:c r="L45" s="42" t="n">
        <x:v>48</x:v>
      </x:c>
      <x:c r="M45" s="42" t="n">
        <x:v>42.5</x:v>
      </x:c>
      <x:c r="N45" s="42" t="n">
        <x:v>1.6</x:v>
      </x:c>
      <x:c r="O45" s="42" t="n">
        <x:v>11</x:v>
      </x:c>
      <x:c r="P45" s="42" t="n">
        <x:v>48</x:v>
      </x:c>
      <x:c r="Q45" s="42" t="n">
        <x:v>48</x:v>
      </x:c>
      <x:c r="R45" s="42" t="n">
        <x:v>0</x:v>
      </x:c>
      <x:c r="S45" s="42" t="n">
        <x:v>0</x:v>
      </x:c>
      <x:c r="T45" s="42" t="n">
        <x:v>24</x:v>
      </x:c>
      <x:c r="U45" s="42" t="n">
        <x:v>24</x:v>
      </x:c>
      <x:c r="V45" s="42" t="n">
        <x:v>25</x:v>
      </x:c>
      <x:c r="W45" s="42" t="n">
        <x:v>25</x:v>
      </x:c>
      <x:c r="X45" s="42" t="n">
        <x:v>1500</x:v>
      </x:c>
      <x:c r="Y45" s="42" t="n">
        <x:v>2000</x:v>
      </x:c>
      <x:c r="Z45" s="42" t="n">
        <x:v>220</x:v>
      </x:c>
      <x:c r="AA45" s="42" t="n">
        <x:v>220</x:v>
      </x:c>
      <x:c r="AB45" s="42" t="n">
        <x:v>0.48</x:v>
      </x:c>
      <x:c r="AC45" s="42" t="n">
        <x:v>4</x:v>
      </x:c>
      <x:c r="AD45" s="42" t="n">
        <x:v>8000</x:v>
      </x:c>
      <x:c r="AE45" s="42" t="n">
        <x:v>1.2</x:v>
      </x:c>
      <x:c r="AF45" s="42" t="n">
        <x:v>1.2</x:v>
      </x:c>
      <x:c r="AG45" s="42" t="str">
        <x:v>N</x:v>
      </x:c>
      <x:c r="AH45" s="42" t="n">
        <x:v>0.95</x:v>
      </x:c>
      <x:c r="AI45" s="42" t="n">
        <x:v>500</x:v>
      </x:c>
      <x:c r="AJ45" s="43" t="n">
        <x:v>21</x:v>
      </x:c>
    </x:row>
    <x:row r="46" ht="22" customHeight="1">
      <x:c r="A46" s="4" t="str">
        <x:v>S05-P05</x:v>
      </x:c>
      <x:c r="B46" s="4" t="str">
        <x:v>S05</x:v>
      </x:c>
      <x:c r="C46" s="4" t="str">
        <x:v>신촌점</x:v>
      </x:c>
      <x:c r="D46" s="4" t="str">
        <x:v>서대문구</x:v>
      </x:c>
      <x:c r="E46" s="4" t="str">
        <x:v>P05</x:v>
      </x:c>
      <x:c r="F46" s="4" t="str">
        <x:v>제주삼다수2L</x:v>
      </x:c>
      <x:c r="G46" s="4" t="str">
        <x:v>음료</x:v>
      </x:c>
      <x:c r="H46" s="4" t="str">
        <x:v>음료</x:v>
      </x:c>
      <x:c r="I46" s="42" t="n">
        <x:v>40</x:v>
      </x:c>
      <x:c r="J46" s="42" t="n">
        <x:v>40</x:v>
      </x:c>
      <x:c r="K46" s="42" t="n">
        <x:v>40</x:v>
      </x:c>
      <x:c r="L46" s="42" t="n">
        <x:v>40</x:v>
      </x:c>
      <x:c r="M46" s="42" t="n">
        <x:v>35.5</x:v>
      </x:c>
      <x:c r="N46" s="42" t="n">
        <x:v>1.33</x:v>
      </x:c>
      <x:c r="O46" s="42" t="n">
        <x:v>9</x:v>
      </x:c>
      <x:c r="P46" s="42" t="n">
        <x:v>40</x:v>
      </x:c>
      <x:c r="Q46" s="42" t="n">
        <x:v>40</x:v>
      </x:c>
      <x:c r="R46" s="42" t="n">
        <x:v>0</x:v>
      </x:c>
      <x:c r="S46" s="42" t="n">
        <x:v>0</x:v>
      </x:c>
      <x:c r="T46" s="42" t="n">
        <x:v>24</x:v>
      </x:c>
      <x:c r="U46" s="42" t="n">
        <x:v>24</x:v>
      </x:c>
      <x:c r="V46" s="42" t="n">
        <x:v>25</x:v>
      </x:c>
      <x:c r="W46" s="42" t="n">
        <x:v>25</x:v>
      </x:c>
      <x:c r="X46" s="42" t="n">
        <x:v>1500</x:v>
      </x:c>
      <x:c r="Y46" s="42" t="n">
        <x:v>2000</x:v>
      </x:c>
      <x:c r="Z46" s="42" t="n">
        <x:v>220</x:v>
      </x:c>
      <x:c r="AA46" s="42" t="n">
        <x:v>220</x:v>
      </x:c>
      <x:c r="AB46" s="42" t="n">
        <x:v>0.4</x:v>
      </x:c>
      <x:c r="AC46" s="42" t="n">
        <x:v>4</x:v>
      </x:c>
      <x:c r="AD46" s="42" t="n">
        <x:v>8000</x:v>
      </x:c>
      <x:c r="AE46" s="42" t="n">
        <x:v>1.2</x:v>
      </x:c>
      <x:c r="AF46" s="42" t="n">
        <x:v>1.2</x:v>
      </x:c>
      <x:c r="AG46" s="42" t="str">
        <x:v>N</x:v>
      </x:c>
      <x:c r="AH46" s="42" t="n">
        <x:v>0.95</x:v>
      </x:c>
      <x:c r="AI46" s="42" t="n">
        <x:v>500</x:v>
      </x:c>
      <x:c r="AJ46" s="43" t="n">
        <x:v>21</x:v>
      </x:c>
    </x:row>
    <x:row r="47" ht="22" customHeight="1">
      <x:c r="A47" s="4" t="str">
        <x:v>S06-P05</x:v>
      </x:c>
      <x:c r="B47" s="4" t="str">
        <x:v>S06</x:v>
      </x:c>
      <x:c r="C47" s="4" t="str">
        <x:v>마포점</x:v>
      </x:c>
      <x:c r="D47" s="4" t="str">
        <x:v>마포구</x:v>
      </x:c>
      <x:c r="E47" s="4" t="str">
        <x:v>P05</x:v>
      </x:c>
      <x:c r="F47" s="4" t="str">
        <x:v>제주삼다수2L</x:v>
      </x:c>
      <x:c r="G47" s="4" t="str">
        <x:v>음료</x:v>
      </x:c>
      <x:c r="H47" s="4" t="str">
        <x:v>음료</x:v>
      </x:c>
      <x:c r="I47" s="42" t="n">
        <x:v>42</x:v>
      </x:c>
      <x:c r="J47" s="42" t="n">
        <x:v>42</x:v>
      </x:c>
      <x:c r="K47" s="42" t="n">
        <x:v>42</x:v>
      </x:c>
      <x:c r="L47" s="42" t="n">
        <x:v>42</x:v>
      </x:c>
      <x:c r="M47" s="42" t="n">
        <x:v>37.5</x:v>
      </x:c>
      <x:c r="N47" s="42" t="n">
        <x:v>1.4</x:v>
      </x:c>
      <x:c r="O47" s="42" t="n">
        <x:v>9</x:v>
      </x:c>
      <x:c r="P47" s="42" t="n">
        <x:v>42</x:v>
      </x:c>
      <x:c r="Q47" s="42" t="n">
        <x:v>42</x:v>
      </x:c>
      <x:c r="R47" s="42" t="n">
        <x:v>0</x:v>
      </x:c>
      <x:c r="S47" s="42" t="n">
        <x:v>0</x:v>
      </x:c>
      <x:c r="T47" s="42" t="n">
        <x:v>24</x:v>
      </x:c>
      <x:c r="U47" s="42" t="n">
        <x:v>24</x:v>
      </x:c>
      <x:c r="V47" s="42" t="n">
        <x:v>25</x:v>
      </x:c>
      <x:c r="W47" s="42" t="n">
        <x:v>25</x:v>
      </x:c>
      <x:c r="X47" s="42" t="n">
        <x:v>1500</x:v>
      </x:c>
      <x:c r="Y47" s="42" t="n">
        <x:v>2000</x:v>
      </x:c>
      <x:c r="Z47" s="42" t="n">
        <x:v>220</x:v>
      </x:c>
      <x:c r="AA47" s="42" t="n">
        <x:v>220</x:v>
      </x:c>
      <x:c r="AB47" s="42" t="n">
        <x:v>0.42</x:v>
      </x:c>
      <x:c r="AC47" s="42" t="n">
        <x:v>4</x:v>
      </x:c>
      <x:c r="AD47" s="42" t="n">
        <x:v>8000</x:v>
      </x:c>
      <x:c r="AE47" s="42" t="n">
        <x:v>1.2</x:v>
      </x:c>
      <x:c r="AF47" s="42" t="n">
        <x:v>1.2</x:v>
      </x:c>
      <x:c r="AG47" s="42" t="str">
        <x:v>N</x:v>
      </x:c>
      <x:c r="AH47" s="42" t="n">
        <x:v>0.95</x:v>
      </x:c>
      <x:c r="AI47" s="42" t="n">
        <x:v>500</x:v>
      </x:c>
      <x:c r="AJ47" s="43" t="n">
        <x:v>21</x:v>
      </x:c>
    </x:row>
    <x:row r="48" ht="22" customHeight="1">
      <x:c r="A48" s="4" t="str">
        <x:v>S07-P05</x:v>
      </x:c>
      <x:c r="B48" s="4" t="str">
        <x:v>S07</x:v>
      </x:c>
      <x:c r="C48" s="4" t="str">
        <x:v>종로점</x:v>
      </x:c>
      <x:c r="D48" s="4" t="str">
        <x:v>종로구</x:v>
      </x:c>
      <x:c r="E48" s="4" t="str">
        <x:v>P05</x:v>
      </x:c>
      <x:c r="F48" s="4" t="str">
        <x:v>제주삼다수2L</x:v>
      </x:c>
      <x:c r="G48" s="4" t="str">
        <x:v>음료</x:v>
      </x:c>
      <x:c r="H48" s="4" t="str">
        <x:v>음료</x:v>
      </x:c>
      <x:c r="I48" s="42" t="n">
        <x:v>44</x:v>
      </x:c>
      <x:c r="J48" s="42" t="n">
        <x:v>44</x:v>
      </x:c>
      <x:c r="K48" s="42" t="n">
        <x:v>44</x:v>
      </x:c>
      <x:c r="L48" s="42" t="n">
        <x:v>44</x:v>
      </x:c>
      <x:c r="M48" s="42" t="n">
        <x:v>39</x:v>
      </x:c>
      <x:c r="N48" s="42" t="n">
        <x:v>1.47</x:v>
      </x:c>
      <x:c r="O48" s="42" t="n">
        <x:v>10</x:v>
      </x:c>
      <x:c r="P48" s="42" t="n">
        <x:v>44</x:v>
      </x:c>
      <x:c r="Q48" s="42" t="n">
        <x:v>44</x:v>
      </x:c>
      <x:c r="R48" s="42" t="n">
        <x:v>0</x:v>
      </x:c>
      <x:c r="S48" s="42" t="n">
        <x:v>0</x:v>
      </x:c>
      <x:c r="T48" s="42" t="n">
        <x:v>24</x:v>
      </x:c>
      <x:c r="U48" s="42" t="n">
        <x:v>24</x:v>
      </x:c>
      <x:c r="V48" s="42" t="n">
        <x:v>25</x:v>
      </x:c>
      <x:c r="W48" s="42" t="n">
        <x:v>25</x:v>
      </x:c>
      <x:c r="X48" s="42" t="n">
        <x:v>1500</x:v>
      </x:c>
      <x:c r="Y48" s="42" t="n">
        <x:v>2000</x:v>
      </x:c>
      <x:c r="Z48" s="42" t="n">
        <x:v>220</x:v>
      </x:c>
      <x:c r="AA48" s="42" t="n">
        <x:v>220</x:v>
      </x:c>
      <x:c r="AB48" s="42" t="n">
        <x:v>0.44</x:v>
      </x:c>
      <x:c r="AC48" s="42" t="n">
        <x:v>4</x:v>
      </x:c>
      <x:c r="AD48" s="42" t="n">
        <x:v>8000</x:v>
      </x:c>
      <x:c r="AE48" s="42" t="n">
        <x:v>1.2</x:v>
      </x:c>
      <x:c r="AF48" s="42" t="n">
        <x:v>1.2</x:v>
      </x:c>
      <x:c r="AG48" s="42" t="str">
        <x:v>N</x:v>
      </x:c>
      <x:c r="AH48" s="42" t="n">
        <x:v>0.95</x:v>
      </x:c>
      <x:c r="AI48" s="42" t="n">
        <x:v>500</x:v>
      </x:c>
      <x:c r="AJ48" s="43" t="n">
        <x:v>21</x:v>
      </x:c>
    </x:row>
    <x:row r="49" ht="22" customHeight="1">
      <x:c r="A49" s="4" t="str">
        <x:v>S08-P05</x:v>
      </x:c>
      <x:c r="B49" s="4" t="str">
        <x:v>S08</x:v>
      </x:c>
      <x:c r="C49" s="4" t="str">
        <x:v>용산점</x:v>
      </x:c>
      <x:c r="D49" s="4" t="str">
        <x:v>용산구</x:v>
      </x:c>
      <x:c r="E49" s="4" t="str">
        <x:v>P05</x:v>
      </x:c>
      <x:c r="F49" s="4" t="str">
        <x:v>제주삼다수2L</x:v>
      </x:c>
      <x:c r="G49" s="4" t="str">
        <x:v>음료</x:v>
      </x:c>
      <x:c r="H49" s="4" t="str">
        <x:v>음료</x:v>
      </x:c>
      <x:c r="I49" s="42" t="n">
        <x:v>180</x:v>
      </x:c>
      <x:c r="J49" s="42" t="n">
        <x:v>180</x:v>
      </x:c>
      <x:c r="K49" s="42" t="n">
        <x:v>180</x:v>
      </x:c>
      <x:c r="L49" s="42" t="n">
        <x:v>180</x:v>
      </x:c>
      <x:c r="M49" s="42" t="n">
        <x:v>176</x:v>
      </x:c>
      <x:c r="N49" s="42" t="n">
        <x:v>1.17</x:v>
      </x:c>
      <x:c r="O49" s="42" t="n">
        <x:v>8</x:v>
      </x:c>
      <x:c r="P49" s="42" t="n">
        <x:v>35</x:v>
      </x:c>
      <x:c r="Q49" s="42" t="n">
        <x:v>35</x:v>
      </x:c>
      <x:c r="R49" s="42" t="n">
        <x:v>145</x:v>
      </x:c>
      <x:c r="S49" s="42" t="n">
        <x:v>0</x:v>
      </x:c>
      <x:c r="T49" s="42" t="n">
        <x:v>16</x:v>
      </x:c>
      <x:c r="U49" s="42" t="n">
        <x:v>16</x:v>
      </x:c>
      <x:c r="V49" s="42" t="n">
        <x:v>70</x:v>
      </x:c>
      <x:c r="W49" s="42" t="n">
        <x:v>70</x:v>
      </x:c>
      <x:c r="X49" s="42" t="n">
        <x:v>1500</x:v>
      </x:c>
      <x:c r="Y49" s="42" t="n">
        <x:v>2000</x:v>
      </x:c>
      <x:c r="Z49" s="42" t="n">
        <x:v>220</x:v>
      </x:c>
      <x:c r="AA49" s="42" t="n">
        <x:v>220</x:v>
      </x:c>
      <x:c r="AB49" s="42" t="n">
        <x:v>0.35</x:v>
      </x:c>
      <x:c r="AC49" s="42" t="n">
        <x:v>4</x:v>
      </x:c>
      <x:c r="AD49" s="42" t="n">
        <x:v>8000</x:v>
      </x:c>
      <x:c r="AE49" s="42" t="n">
        <x:v>1.2</x:v>
      </x:c>
      <x:c r="AF49" s="42" t="n">
        <x:v>1.2</x:v>
      </x:c>
      <x:c r="AG49" s="42" t="str">
        <x:v>N</x:v>
      </x:c>
      <x:c r="AH49" s="42" t="n">
        <x:v>0.95</x:v>
      </x:c>
      <x:c r="AI49" s="42" t="n">
        <x:v>500</x:v>
      </x:c>
      <x:c r="AJ49" s="43" t="n">
        <x:v>49</x:v>
      </x:c>
    </x:row>
    <x:row r="50" ht="22" customHeight="1">
      <x:c r="A50" s="4" t="str">
        <x:v>S09-P05</x:v>
      </x:c>
      <x:c r="B50" s="4" t="str">
        <x:v>S09</x:v>
      </x:c>
      <x:c r="C50" s="4" t="str">
        <x:v>상암점</x:v>
      </x:c>
      <x:c r="D50" s="4" t="str">
        <x:v>마포구</x:v>
      </x:c>
      <x:c r="E50" s="4" t="str">
        <x:v>P05</x:v>
      </x:c>
      <x:c r="F50" s="4" t="str">
        <x:v>제주삼다수2L</x:v>
      </x:c>
      <x:c r="G50" s="4" t="str">
        <x:v>음료</x:v>
      </x:c>
      <x:c r="H50" s="4" t="str">
        <x:v>음료</x:v>
      </x:c>
      <x:c r="I50" s="42" t="n">
        <x:v>48</x:v>
      </x:c>
      <x:c r="J50" s="42" t="n">
        <x:v>48</x:v>
      </x:c>
      <x:c r="K50" s="42" t="n">
        <x:v>48</x:v>
      </x:c>
      <x:c r="L50" s="42" t="n">
        <x:v>48</x:v>
      </x:c>
      <x:c r="M50" s="42" t="n">
        <x:v>42.5</x:v>
      </x:c>
      <x:c r="N50" s="42" t="n">
        <x:v>1.6</x:v>
      </x:c>
      <x:c r="O50" s="42" t="n">
        <x:v>11</x:v>
      </x:c>
      <x:c r="P50" s="42" t="n">
        <x:v>48</x:v>
      </x:c>
      <x:c r="Q50" s="42" t="n">
        <x:v>48</x:v>
      </x:c>
      <x:c r="R50" s="42" t="n">
        <x:v>0</x:v>
      </x:c>
      <x:c r="S50" s="42" t="n">
        <x:v>0</x:v>
      </x:c>
      <x:c r="T50" s="42" t="n">
        <x:v>24</x:v>
      </x:c>
      <x:c r="U50" s="42" t="n">
        <x:v>24</x:v>
      </x:c>
      <x:c r="V50" s="42" t="n">
        <x:v>25</x:v>
      </x:c>
      <x:c r="W50" s="42" t="n">
        <x:v>25</x:v>
      </x:c>
      <x:c r="X50" s="42" t="n">
        <x:v>1500</x:v>
      </x:c>
      <x:c r="Y50" s="42" t="n">
        <x:v>2000</x:v>
      </x:c>
      <x:c r="Z50" s="42" t="n">
        <x:v>220</x:v>
      </x:c>
      <x:c r="AA50" s="42" t="n">
        <x:v>220</x:v>
      </x:c>
      <x:c r="AB50" s="42" t="n">
        <x:v>0.48</x:v>
      </x:c>
      <x:c r="AC50" s="42" t="n">
        <x:v>4</x:v>
      </x:c>
      <x:c r="AD50" s="42" t="n">
        <x:v>8000</x:v>
      </x:c>
      <x:c r="AE50" s="42" t="n">
        <x:v>1.2</x:v>
      </x:c>
      <x:c r="AF50" s="42" t="n">
        <x:v>1.2</x:v>
      </x:c>
      <x:c r="AG50" s="42" t="str">
        <x:v>N</x:v>
      </x:c>
      <x:c r="AH50" s="42" t="n">
        <x:v>0.95</x:v>
      </x:c>
      <x:c r="AI50" s="42" t="n">
        <x:v>500</x:v>
      </x:c>
      <x:c r="AJ50" s="43" t="n">
        <x:v>21</x:v>
      </x:c>
    </x:row>
    <x:row r="51" ht="22" customHeight="1">
      <x:c r="A51" s="4" t="str">
        <x:v>S10-P05</x:v>
      </x:c>
      <x:c r="B51" s="4" t="str">
        <x:v>S10</x:v>
      </x:c>
      <x:c r="C51" s="4" t="str">
        <x:v>구파발점</x:v>
      </x:c>
      <x:c r="D51" s="4" t="str">
        <x:v>은평구</x:v>
      </x:c>
      <x:c r="E51" s="4" t="str">
        <x:v>P05</x:v>
      </x:c>
      <x:c r="F51" s="4" t="str">
        <x:v>제주삼다수2L</x:v>
      </x:c>
      <x:c r="G51" s="4" t="str">
        <x:v>음료</x:v>
      </x:c>
      <x:c r="H51" s="4" t="str">
        <x:v>음료</x:v>
      </x:c>
      <x:c r="I51" s="42" t="n">
        <x:v>15</x:v>
      </x:c>
      <x:c r="J51" s="42" t="n">
        <x:v>15</x:v>
      </x:c>
      <x:c r="K51" s="42" t="n">
        <x:v>15</x:v>
      </x:c>
      <x:c r="L51" s="42" t="n">
        <x:v>15</x:v>
      </x:c>
      <x:c r="M51" s="42" t="n">
        <x:v>7.5</x:v>
      </x:c>
      <x:c r="N51" s="42" t="n">
        <x:v>4</x:v>
      </x:c>
      <x:c r="O51" s="42" t="n">
        <x:v>29</x:v>
      </x:c>
      <x:c r="P51" s="42" t="n">
        <x:v>120</x:v>
      </x:c>
      <x:c r="Q51" s="42" t="n">
        <x:v>120</x:v>
      </x:c>
      <x:c r="R51" s="42" t="n">
        <x:v>0</x:v>
      </x:c>
      <x:c r="S51" s="42" t="n">
        <x:v>105</x:v>
      </x:c>
      <x:c r="T51" s="42" t="n">
        <x:v>21</x:v>
      </x:c>
      <x:c r="U51" s="42" t="n">
        <x:v>21</x:v>
      </x:c>
      <x:c r="V51" s="42" t="n">
        <x:v>15</x:v>
      </x:c>
      <x:c r="W51" s="42" t="n">
        <x:v>15</x:v>
      </x:c>
      <x:c r="X51" s="42" t="n">
        <x:v>1500</x:v>
      </x:c>
      <x:c r="Y51" s="42" t="n">
        <x:v>2000</x:v>
      </x:c>
      <x:c r="Z51" s="42" t="n">
        <x:v>220</x:v>
      </x:c>
      <x:c r="AA51" s="42" t="n">
        <x:v>220</x:v>
      </x:c>
      <x:c r="AB51" s="42" t="n">
        <x:v>1.2</x:v>
      </x:c>
      <x:c r="AC51" s="42" t="n">
        <x:v>4</x:v>
      </x:c>
      <x:c r="AD51" s="42" t="n">
        <x:v>8000</x:v>
      </x:c>
      <x:c r="AE51" s="42" t="n">
        <x:v>1.2</x:v>
      </x:c>
      <x:c r="AF51" s="42" t="n">
        <x:v>1.2</x:v>
      </x:c>
      <x:c r="AG51" s="42" t="str">
        <x:v>N</x:v>
      </x:c>
      <x:c r="AH51" s="42" t="n">
        <x:v>0.95</x:v>
      </x:c>
      <x:c r="AI51" s="42" t="n">
        <x:v>500</x:v>
      </x:c>
      <x:c r="AJ51" s="43" t="n">
        <x:v>31.5</x:v>
      </x:c>
    </x:row>
    <x:row r="52" ht="22" customHeight="1">
      <x:c r="A52" s="4" t="str">
        <x:v>S01-P06</x:v>
      </x:c>
      <x:c r="B52" s="4" t="str">
        <x:v>S01</x:v>
      </x:c>
      <x:c r="C52" s="4" t="str">
        <x:v>연신내점</x:v>
      </x:c>
      <x:c r="D52" s="4" t="str">
        <x:v>은평구</x:v>
      </x:c>
      <x:c r="E52" s="4" t="str">
        <x:v>P06</x:v>
      </x:c>
      <x:c r="F52" s="4" t="str">
        <x:v>냉동삼각김밥</x:v>
      </x:c>
      <x:c r="G52" s="4" t="str">
        <x:v>냉동식품</x:v>
      </x:c>
      <x:c r="H52" s="4" t="str">
        <x:v>냉동식품</x:v>
      </x:c>
      <x:c r="I52" s="42" t="n">
        <x:v>42</x:v>
      </x:c>
      <x:c r="J52" s="42" t="n">
        <x:v>42</x:v>
      </x:c>
      <x:c r="K52" s="42" t="n">
        <x:v>42</x:v>
      </x:c>
      <x:c r="L52" s="42" t="n">
        <x:v>42</x:v>
      </x:c>
      <x:c r="M52" s="42" t="n">
        <x:v>37.5</x:v>
      </x:c>
      <x:c r="N52" s="42" t="n">
        <x:v>1.4</x:v>
      </x:c>
      <x:c r="O52" s="42" t="n">
        <x:v>9</x:v>
      </x:c>
      <x:c r="P52" s="42" t="n">
        <x:v>42</x:v>
      </x:c>
      <x:c r="Q52" s="42" t="n">
        <x:v>42</x:v>
      </x:c>
      <x:c r="R52" s="42" t="n">
        <x:v>0</x:v>
      </x:c>
      <x:c r="S52" s="42" t="n">
        <x:v>0</x:v>
      </x:c>
      <x:c r="T52" s="42" t="n">
        <x:v>13</x:v>
      </x:c>
      <x:c r="U52" s="42" t="n">
        <x:v>13</x:v>
      </x:c>
      <x:c r="V52" s="42" t="n">
        <x:v>25</x:v>
      </x:c>
      <x:c r="W52" s="42" t="n">
        <x:v>25</x:v>
      </x:c>
      <x:c r="X52" s="42" t="n">
        <x:v>1800</x:v>
      </x:c>
      <x:c r="Y52" s="42" t="n">
        <x:v>2500</x:v>
      </x:c>
      <x:c r="Z52" s="42" t="n">
        <x:v>350</x:v>
      </x:c>
      <x:c r="AA52" s="42" t="n">
        <x:v>350</x:v>
      </x:c>
      <x:c r="AB52" s="42" t="n">
        <x:v>0.42</x:v>
      </x:c>
      <x:c r="AC52" s="42" t="n">
        <x:v>2</x:v>
      </x:c>
      <x:c r="AD52" s="42" t="n">
        <x:v>12000</x:v>
      </x:c>
      <x:c r="AE52" s="42" t="n">
        <x:v>1.44</x:v>
      </x:c>
      <x:c r="AF52" s="42" t="n">
        <x:v>1.44</x:v>
      </x:c>
      <x:c r="AG52" s="42" t="str">
        <x:v>Y</x:v>
      </x:c>
      <x:c r="AH52" s="42" t="n">
        <x:v>0.95</x:v>
      </x:c>
      <x:c r="AI52" s="42" t="n">
        <x:v>500</x:v>
      </x:c>
      <x:c r="AJ52" s="43" t="n">
        <x:v>59.5</x:v>
      </x:c>
    </x:row>
    <x:row r="53" ht="22" customHeight="1">
      <x:c r="A53" s="4" t="str">
        <x:v>S02-P06</x:v>
      </x:c>
      <x:c r="B53" s="4" t="str">
        <x:v>S02</x:v>
      </x:c>
      <x:c r="C53" s="4" t="str">
        <x:v>불광점</x:v>
      </x:c>
      <x:c r="D53" s="4" t="str">
        <x:v>은평구</x:v>
      </x:c>
      <x:c r="E53" s="4" t="str">
        <x:v>P06</x:v>
      </x:c>
      <x:c r="F53" s="4" t="str">
        <x:v>냉동삼각김밥</x:v>
      </x:c>
      <x:c r="G53" s="4" t="str">
        <x:v>냉동식품</x:v>
      </x:c>
      <x:c r="H53" s="4" t="str">
        <x:v>냉동식품</x:v>
      </x:c>
      <x:c r="I53" s="42" t="n">
        <x:v>12</x:v>
      </x:c>
      <x:c r="J53" s="42" t="n">
        <x:v>12</x:v>
      </x:c>
      <x:c r="K53" s="42" t="n">
        <x:v>12</x:v>
      </x:c>
      <x:c r="L53" s="42" t="n">
        <x:v>12</x:v>
      </x:c>
      <x:c r="M53" s="42" t="n">
        <x:v>6</x:v>
      </x:c>
      <x:c r="N53" s="42" t="n">
        <x:v>3.17</x:v>
      </x:c>
      <x:c r="O53" s="42" t="n">
        <x:v>23</x:v>
      </x:c>
      <x:c r="P53" s="42" t="n">
        <x:v>95</x:v>
      </x:c>
      <x:c r="Q53" s="42" t="n">
        <x:v>95</x:v>
      </x:c>
      <x:c r="R53" s="42" t="n">
        <x:v>0</x:v>
      </x:c>
      <x:c r="S53" s="42" t="n">
        <x:v>83</x:v>
      </x:c>
      <x:c r="T53" s="42" t="n">
        <x:v>10</x:v>
      </x:c>
      <x:c r="U53" s="42" t="n">
        <x:v>10</x:v>
      </x:c>
      <x:c r="V53" s="42" t="n">
        <x:v>15</x:v>
      </x:c>
      <x:c r="W53" s="42" t="n">
        <x:v>15</x:v>
      </x:c>
      <x:c r="X53" s="42" t="n">
        <x:v>1800</x:v>
      </x:c>
      <x:c r="Y53" s="42" t="n">
        <x:v>2500</x:v>
      </x:c>
      <x:c r="Z53" s="42" t="n">
        <x:v>350</x:v>
      </x:c>
      <x:c r="AA53" s="42" t="n">
        <x:v>350</x:v>
      </x:c>
      <x:c r="AB53" s="42" t="n">
        <x:v>0.95</x:v>
      </x:c>
      <x:c r="AC53" s="42" t="n">
        <x:v>2</x:v>
      </x:c>
      <x:c r="AD53" s="42" t="n">
        <x:v>12000</x:v>
      </x:c>
      <x:c r="AE53" s="42" t="n">
        <x:v>1.44</x:v>
      </x:c>
      <x:c r="AF53" s="42" t="n">
        <x:v>1.44</x:v>
      </x:c>
      <x:c r="AG53" s="42" t="str">
        <x:v>Y</x:v>
      </x:c>
      <x:c r="AH53" s="42" t="n">
        <x:v>0.95</x:v>
      </x:c>
      <x:c r="AI53" s="42" t="n">
        <x:v>500</x:v>
      </x:c>
      <x:c r="AJ53" s="43" t="n">
        <x:v>70</x:v>
      </x:c>
    </x:row>
    <x:row r="54" ht="22" customHeight="1">
      <x:c r="A54" s="4" t="str">
        <x:v>S03-P06</x:v>
      </x:c>
      <x:c r="B54" s="4" t="str">
        <x:v>S03</x:v>
      </x:c>
      <x:c r="C54" s="4" t="str">
        <x:v>응암점</x:v>
      </x:c>
      <x:c r="D54" s="4" t="str">
        <x:v>은평구</x:v>
      </x:c>
      <x:c r="E54" s="4" t="str">
        <x:v>P06</x:v>
      </x:c>
      <x:c r="F54" s="4" t="str">
        <x:v>냉동삼각김밥</x:v>
      </x:c>
      <x:c r="G54" s="4" t="str">
        <x:v>냉동식품</x:v>
      </x:c>
      <x:c r="H54" s="4" t="str">
        <x:v>냉동식품</x:v>
      </x:c>
      <x:c r="I54" s="42" t="n">
        <x:v>46</x:v>
      </x:c>
      <x:c r="J54" s="42" t="n">
        <x:v>46</x:v>
      </x:c>
      <x:c r="K54" s="42" t="n">
        <x:v>46</x:v>
      </x:c>
      <x:c r="L54" s="42" t="n">
        <x:v>46</x:v>
      </x:c>
      <x:c r="M54" s="42" t="n">
        <x:v>41</x:v>
      </x:c>
      <x:c r="N54" s="42" t="n">
        <x:v>1.53</x:v>
      </x:c>
      <x:c r="O54" s="42" t="n">
        <x:v>10</x:v>
      </x:c>
      <x:c r="P54" s="42" t="n">
        <x:v>46</x:v>
      </x:c>
      <x:c r="Q54" s="42" t="n">
        <x:v>46</x:v>
      </x:c>
      <x:c r="R54" s="42" t="n">
        <x:v>0</x:v>
      </x:c>
      <x:c r="S54" s="42" t="n">
        <x:v>0</x:v>
      </x:c>
      <x:c r="T54" s="42" t="n">
        <x:v>13</x:v>
      </x:c>
      <x:c r="U54" s="42" t="n">
        <x:v>13</x:v>
      </x:c>
      <x:c r="V54" s="42" t="n">
        <x:v>25</x:v>
      </x:c>
      <x:c r="W54" s="42" t="n">
        <x:v>25</x:v>
      </x:c>
      <x:c r="X54" s="42" t="n">
        <x:v>1800</x:v>
      </x:c>
      <x:c r="Y54" s="42" t="n">
        <x:v>2500</x:v>
      </x:c>
      <x:c r="Z54" s="42" t="n">
        <x:v>350</x:v>
      </x:c>
      <x:c r="AA54" s="42" t="n">
        <x:v>350</x:v>
      </x:c>
      <x:c r="AB54" s="42" t="n">
        <x:v>0.46</x:v>
      </x:c>
      <x:c r="AC54" s="42" t="n">
        <x:v>2</x:v>
      </x:c>
      <x:c r="AD54" s="42" t="n">
        <x:v>12000</x:v>
      </x:c>
      <x:c r="AE54" s="42" t="n">
        <x:v>1.44</x:v>
      </x:c>
      <x:c r="AF54" s="42" t="n">
        <x:v>1.44</x:v>
      </x:c>
      <x:c r="AG54" s="42" t="str">
        <x:v>Y</x:v>
      </x:c>
      <x:c r="AH54" s="42" t="n">
        <x:v>0.95</x:v>
      </x:c>
      <x:c r="AI54" s="42" t="n">
        <x:v>500</x:v>
      </x:c>
      <x:c r="AJ54" s="43" t="n">
        <x:v>59.5</x:v>
      </x:c>
    </x:row>
    <x:row r="55" ht="22" customHeight="1">
      <x:c r="A55" s="4" t="str">
        <x:v>S04-P06</x:v>
      </x:c>
      <x:c r="B55" s="4" t="str">
        <x:v>S04</x:v>
      </x:c>
      <x:c r="C55" s="4" t="str">
        <x:v>홍제점</x:v>
      </x:c>
      <x:c r="D55" s="4" t="str">
        <x:v>서대문구</x:v>
      </x:c>
      <x:c r="E55" s="4" t="str">
        <x:v>P06</x:v>
      </x:c>
      <x:c r="F55" s="4" t="str">
        <x:v>냉동삼각김밥</x:v>
      </x:c>
      <x:c r="G55" s="4" t="str">
        <x:v>냉동식품</x:v>
      </x:c>
      <x:c r="H55" s="4" t="str">
        <x:v>냉동식품</x:v>
      </x:c>
      <x:c r="I55" s="42" t="n">
        <x:v>48</x:v>
      </x:c>
      <x:c r="J55" s="42" t="n">
        <x:v>48</x:v>
      </x:c>
      <x:c r="K55" s="42" t="n">
        <x:v>48</x:v>
      </x:c>
      <x:c r="L55" s="42" t="n">
        <x:v>48</x:v>
      </x:c>
      <x:c r="M55" s="42" t="n">
        <x:v>42.5</x:v>
      </x:c>
      <x:c r="N55" s="42" t="n">
        <x:v>1.6</x:v>
      </x:c>
      <x:c r="O55" s="42" t="n">
        <x:v>11</x:v>
      </x:c>
      <x:c r="P55" s="42" t="n">
        <x:v>48</x:v>
      </x:c>
      <x:c r="Q55" s="42" t="n">
        <x:v>48</x:v>
      </x:c>
      <x:c r="R55" s="42" t="n">
        <x:v>0</x:v>
      </x:c>
      <x:c r="S55" s="42" t="n">
        <x:v>0</x:v>
      </x:c>
      <x:c r="T55" s="42" t="n">
        <x:v>13</x:v>
      </x:c>
      <x:c r="U55" s="42" t="n">
        <x:v>13</x:v>
      </x:c>
      <x:c r="V55" s="42" t="n">
        <x:v>25</x:v>
      </x:c>
      <x:c r="W55" s="42" t="n">
        <x:v>25</x:v>
      </x:c>
      <x:c r="X55" s="42" t="n">
        <x:v>1800</x:v>
      </x:c>
      <x:c r="Y55" s="42" t="n">
        <x:v>2500</x:v>
      </x:c>
      <x:c r="Z55" s="42" t="n">
        <x:v>350</x:v>
      </x:c>
      <x:c r="AA55" s="42" t="n">
        <x:v>350</x:v>
      </x:c>
      <x:c r="AB55" s="42" t="n">
        <x:v>0.48</x:v>
      </x:c>
      <x:c r="AC55" s="42" t="n">
        <x:v>2</x:v>
      </x:c>
      <x:c r="AD55" s="42" t="n">
        <x:v>12000</x:v>
      </x:c>
      <x:c r="AE55" s="42" t="n">
        <x:v>1.44</x:v>
      </x:c>
      <x:c r="AF55" s="42" t="n">
        <x:v>1.44</x:v>
      </x:c>
      <x:c r="AG55" s="42" t="str">
        <x:v>Y</x:v>
      </x:c>
      <x:c r="AH55" s="42" t="n">
        <x:v>0.95</x:v>
      </x:c>
      <x:c r="AI55" s="42" t="n">
        <x:v>500</x:v>
      </x:c>
      <x:c r="AJ55" s="43" t="n">
        <x:v>59.5</x:v>
      </x:c>
    </x:row>
    <x:row r="56" ht="22" customHeight="1">
      <x:c r="A56" s="4" t="str">
        <x:v>S05-P06</x:v>
      </x:c>
      <x:c r="B56" s="4" t="str">
        <x:v>S05</x:v>
      </x:c>
      <x:c r="C56" s="4" t="str">
        <x:v>신촌점</x:v>
      </x:c>
      <x:c r="D56" s="4" t="str">
        <x:v>서대문구</x:v>
      </x:c>
      <x:c r="E56" s="4" t="str">
        <x:v>P06</x:v>
      </x:c>
      <x:c r="F56" s="4" t="str">
        <x:v>냉동삼각김밥</x:v>
      </x:c>
      <x:c r="G56" s="4" t="str">
        <x:v>냉동식품</x:v>
      </x:c>
      <x:c r="H56" s="4" t="str">
        <x:v>냉동식품</x:v>
      </x:c>
      <x:c r="I56" s="42" t="n">
        <x:v>40</x:v>
      </x:c>
      <x:c r="J56" s="42" t="n">
        <x:v>40</x:v>
      </x:c>
      <x:c r="K56" s="42" t="n">
        <x:v>40</x:v>
      </x:c>
      <x:c r="L56" s="42" t="n">
        <x:v>40</x:v>
      </x:c>
      <x:c r="M56" s="42" t="n">
        <x:v>35.5</x:v>
      </x:c>
      <x:c r="N56" s="42" t="n">
        <x:v>1.33</x:v>
      </x:c>
      <x:c r="O56" s="42" t="n">
        <x:v>9</x:v>
      </x:c>
      <x:c r="P56" s="42" t="n">
        <x:v>40</x:v>
      </x:c>
      <x:c r="Q56" s="42" t="n">
        <x:v>40</x:v>
      </x:c>
      <x:c r="R56" s="42" t="n">
        <x:v>0</x:v>
      </x:c>
      <x:c r="S56" s="42" t="n">
        <x:v>0</x:v>
      </x:c>
      <x:c r="T56" s="42" t="n">
        <x:v>13</x:v>
      </x:c>
      <x:c r="U56" s="42" t="n">
        <x:v>13</x:v>
      </x:c>
      <x:c r="V56" s="42" t="n">
        <x:v>25</x:v>
      </x:c>
      <x:c r="W56" s="42" t="n">
        <x:v>25</x:v>
      </x:c>
      <x:c r="X56" s="42" t="n">
        <x:v>1800</x:v>
      </x:c>
      <x:c r="Y56" s="42" t="n">
        <x:v>2500</x:v>
      </x:c>
      <x:c r="Z56" s="42" t="n">
        <x:v>350</x:v>
      </x:c>
      <x:c r="AA56" s="42" t="n">
        <x:v>350</x:v>
      </x:c>
      <x:c r="AB56" s="42" t="n">
        <x:v>0.4</x:v>
      </x:c>
      <x:c r="AC56" s="42" t="n">
        <x:v>2</x:v>
      </x:c>
      <x:c r="AD56" s="42" t="n">
        <x:v>12000</x:v>
      </x:c>
      <x:c r="AE56" s="42" t="n">
        <x:v>1.44</x:v>
      </x:c>
      <x:c r="AF56" s="42" t="n">
        <x:v>1.44</x:v>
      </x:c>
      <x:c r="AG56" s="42" t="str">
        <x:v>Y</x:v>
      </x:c>
      <x:c r="AH56" s="42" t="n">
        <x:v>0.95</x:v>
      </x:c>
      <x:c r="AI56" s="42" t="n">
        <x:v>500</x:v>
      </x:c>
      <x:c r="AJ56" s="43" t="n">
        <x:v>59.5</x:v>
      </x:c>
    </x:row>
    <x:row r="57" ht="22" customHeight="1">
      <x:c r="A57" s="4" t="str">
        <x:v>S06-P06</x:v>
      </x:c>
      <x:c r="B57" s="4" t="str">
        <x:v>S06</x:v>
      </x:c>
      <x:c r="C57" s="4" t="str">
        <x:v>마포점</x:v>
      </x:c>
      <x:c r="D57" s="4" t="str">
        <x:v>마포구</x:v>
      </x:c>
      <x:c r="E57" s="4" t="str">
        <x:v>P06</x:v>
      </x:c>
      <x:c r="F57" s="4" t="str">
        <x:v>냉동삼각김밥</x:v>
      </x:c>
      <x:c r="G57" s="4" t="str">
        <x:v>냉동식품</x:v>
      </x:c>
      <x:c r="H57" s="4" t="str">
        <x:v>냉동식품</x:v>
      </x:c>
      <x:c r="I57" s="42" t="n">
        <x:v>42</x:v>
      </x:c>
      <x:c r="J57" s="42" t="n">
        <x:v>42</x:v>
      </x:c>
      <x:c r="K57" s="42" t="n">
        <x:v>42</x:v>
      </x:c>
      <x:c r="L57" s="42" t="n">
        <x:v>42</x:v>
      </x:c>
      <x:c r="M57" s="42" t="n">
        <x:v>37.5</x:v>
      </x:c>
      <x:c r="N57" s="42" t="n">
        <x:v>1.4</x:v>
      </x:c>
      <x:c r="O57" s="42" t="n">
        <x:v>9</x:v>
      </x:c>
      <x:c r="P57" s="42" t="n">
        <x:v>42</x:v>
      </x:c>
      <x:c r="Q57" s="42" t="n">
        <x:v>42</x:v>
      </x:c>
      <x:c r="R57" s="42" t="n">
        <x:v>0</x:v>
      </x:c>
      <x:c r="S57" s="42" t="n">
        <x:v>0</x:v>
      </x:c>
      <x:c r="T57" s="42" t="n">
        <x:v>13</x:v>
      </x:c>
      <x:c r="U57" s="42" t="n">
        <x:v>13</x:v>
      </x:c>
      <x:c r="V57" s="42" t="n">
        <x:v>25</x:v>
      </x:c>
      <x:c r="W57" s="42" t="n">
        <x:v>25</x:v>
      </x:c>
      <x:c r="X57" s="42" t="n">
        <x:v>1800</x:v>
      </x:c>
      <x:c r="Y57" s="42" t="n">
        <x:v>2500</x:v>
      </x:c>
      <x:c r="Z57" s="42" t="n">
        <x:v>350</x:v>
      </x:c>
      <x:c r="AA57" s="42" t="n">
        <x:v>350</x:v>
      </x:c>
      <x:c r="AB57" s="42" t="n">
        <x:v>0.42</x:v>
      </x:c>
      <x:c r="AC57" s="42" t="n">
        <x:v>2</x:v>
      </x:c>
      <x:c r="AD57" s="42" t="n">
        <x:v>12000</x:v>
      </x:c>
      <x:c r="AE57" s="42" t="n">
        <x:v>1.44</x:v>
      </x:c>
      <x:c r="AF57" s="42" t="n">
        <x:v>1.44</x:v>
      </x:c>
      <x:c r="AG57" s="42" t="str">
        <x:v>Y</x:v>
      </x:c>
      <x:c r="AH57" s="42" t="n">
        <x:v>0.95</x:v>
      </x:c>
      <x:c r="AI57" s="42" t="n">
        <x:v>500</x:v>
      </x:c>
      <x:c r="AJ57" s="43" t="n">
        <x:v>59.5</x:v>
      </x:c>
    </x:row>
    <x:row r="58" ht="22" customHeight="1">
      <x:c r="A58" s="4" t="str">
        <x:v>S07-P06</x:v>
      </x:c>
      <x:c r="B58" s="4" t="str">
        <x:v>S07</x:v>
      </x:c>
      <x:c r="C58" s="4" t="str">
        <x:v>종로점</x:v>
      </x:c>
      <x:c r="D58" s="4" t="str">
        <x:v>종로구</x:v>
      </x:c>
      <x:c r="E58" s="4" t="str">
        <x:v>P06</x:v>
      </x:c>
      <x:c r="F58" s="4" t="str">
        <x:v>냉동삼각김밥</x:v>
      </x:c>
      <x:c r="G58" s="4" t="str">
        <x:v>냉동식품</x:v>
      </x:c>
      <x:c r="H58" s="4" t="str">
        <x:v>냉동식품</x:v>
      </x:c>
      <x:c r="I58" s="42" t="n">
        <x:v>44</x:v>
      </x:c>
      <x:c r="J58" s="42" t="n">
        <x:v>44</x:v>
      </x:c>
      <x:c r="K58" s="42" t="n">
        <x:v>44</x:v>
      </x:c>
      <x:c r="L58" s="42" t="n">
        <x:v>44</x:v>
      </x:c>
      <x:c r="M58" s="42" t="n">
        <x:v>39</x:v>
      </x:c>
      <x:c r="N58" s="42" t="n">
        <x:v>1.47</x:v>
      </x:c>
      <x:c r="O58" s="42" t="n">
        <x:v>10</x:v>
      </x:c>
      <x:c r="P58" s="42" t="n">
        <x:v>44</x:v>
      </x:c>
      <x:c r="Q58" s="42" t="n">
        <x:v>44</x:v>
      </x:c>
      <x:c r="R58" s="42" t="n">
        <x:v>0</x:v>
      </x:c>
      <x:c r="S58" s="42" t="n">
        <x:v>0</x:v>
      </x:c>
      <x:c r="T58" s="42" t="n">
        <x:v>13</x:v>
      </x:c>
      <x:c r="U58" s="42" t="n">
        <x:v>13</x:v>
      </x:c>
      <x:c r="V58" s="42" t="n">
        <x:v>25</x:v>
      </x:c>
      <x:c r="W58" s="42" t="n">
        <x:v>25</x:v>
      </x:c>
      <x:c r="X58" s="42" t="n">
        <x:v>1800</x:v>
      </x:c>
      <x:c r="Y58" s="42" t="n">
        <x:v>2500</x:v>
      </x:c>
      <x:c r="Z58" s="42" t="n">
        <x:v>350</x:v>
      </x:c>
      <x:c r="AA58" s="42" t="n">
        <x:v>350</x:v>
      </x:c>
      <x:c r="AB58" s="42" t="n">
        <x:v>0.44</x:v>
      </x:c>
      <x:c r="AC58" s="42" t="n">
        <x:v>2</x:v>
      </x:c>
      <x:c r="AD58" s="42" t="n">
        <x:v>12000</x:v>
      </x:c>
      <x:c r="AE58" s="42" t="n">
        <x:v>1.44</x:v>
      </x:c>
      <x:c r="AF58" s="42" t="n">
        <x:v>1.44</x:v>
      </x:c>
      <x:c r="AG58" s="42" t="str">
        <x:v>Y</x:v>
      </x:c>
      <x:c r="AH58" s="42" t="n">
        <x:v>0.95</x:v>
      </x:c>
      <x:c r="AI58" s="42" t="n">
        <x:v>500</x:v>
      </x:c>
      <x:c r="AJ58" s="43" t="n">
        <x:v>59.5</x:v>
      </x:c>
    </x:row>
    <x:row r="59" ht="22" customHeight="1">
      <x:c r="A59" s="4" t="str">
        <x:v>S08-P06</x:v>
      </x:c>
      <x:c r="B59" s="4" t="str">
        <x:v>S08</x:v>
      </x:c>
      <x:c r="C59" s="4" t="str">
        <x:v>용산점</x:v>
      </x:c>
      <x:c r="D59" s="4" t="str">
        <x:v>용산구</x:v>
      </x:c>
      <x:c r="E59" s="4" t="str">
        <x:v>P06</x:v>
      </x:c>
      <x:c r="F59" s="4" t="str">
        <x:v>냉동삼각김밥</x:v>
      </x:c>
      <x:c r="G59" s="4" t="str">
        <x:v>냉동식품</x:v>
      </x:c>
      <x:c r="H59" s="4" t="str">
        <x:v>냉동식품</x:v>
      </x:c>
      <x:c r="I59" s="42" t="n">
        <x:v>46</x:v>
      </x:c>
      <x:c r="J59" s="42" t="n">
        <x:v>46</x:v>
      </x:c>
      <x:c r="K59" s="42" t="n">
        <x:v>46</x:v>
      </x:c>
      <x:c r="L59" s="42" t="n">
        <x:v>46</x:v>
      </x:c>
      <x:c r="M59" s="42" t="n">
        <x:v>41</x:v>
      </x:c>
      <x:c r="N59" s="42" t="n">
        <x:v>1.53</x:v>
      </x:c>
      <x:c r="O59" s="42" t="n">
        <x:v>10</x:v>
      </x:c>
      <x:c r="P59" s="42" t="n">
        <x:v>46</x:v>
      </x:c>
      <x:c r="Q59" s="42" t="n">
        <x:v>46</x:v>
      </x:c>
      <x:c r="R59" s="42" t="n">
        <x:v>0</x:v>
      </x:c>
      <x:c r="S59" s="42" t="n">
        <x:v>0</x:v>
      </x:c>
      <x:c r="T59" s="42" t="n">
        <x:v>13</x:v>
      </x:c>
      <x:c r="U59" s="42" t="n">
        <x:v>13</x:v>
      </x:c>
      <x:c r="V59" s="42" t="n">
        <x:v>25</x:v>
      </x:c>
      <x:c r="W59" s="42" t="n">
        <x:v>25</x:v>
      </x:c>
      <x:c r="X59" s="42" t="n">
        <x:v>1800</x:v>
      </x:c>
      <x:c r="Y59" s="42" t="n">
        <x:v>2500</x:v>
      </x:c>
      <x:c r="Z59" s="42" t="n">
        <x:v>350</x:v>
      </x:c>
      <x:c r="AA59" s="42" t="n">
        <x:v>350</x:v>
      </x:c>
      <x:c r="AB59" s="42" t="n">
        <x:v>0.46</x:v>
      </x:c>
      <x:c r="AC59" s="42" t="n">
        <x:v>2</x:v>
      </x:c>
      <x:c r="AD59" s="42" t="n">
        <x:v>12000</x:v>
      </x:c>
      <x:c r="AE59" s="42" t="n">
        <x:v>1.44</x:v>
      </x:c>
      <x:c r="AF59" s="42" t="n">
        <x:v>1.44</x:v>
      </x:c>
      <x:c r="AG59" s="42" t="str">
        <x:v>Y</x:v>
      </x:c>
      <x:c r="AH59" s="42" t="n">
        <x:v>0.95</x:v>
      </x:c>
      <x:c r="AI59" s="42" t="n">
        <x:v>500</x:v>
      </x:c>
      <x:c r="AJ59" s="43" t="n">
        <x:v>59.5</x:v>
      </x:c>
    </x:row>
    <x:row r="60" ht="22" customHeight="1">
      <x:c r="A60" s="4" t="str">
        <x:v>S09-P06</x:v>
      </x:c>
      <x:c r="B60" s="4" t="str">
        <x:v>S09</x:v>
      </x:c>
      <x:c r="C60" s="4" t="str">
        <x:v>상암점</x:v>
      </x:c>
      <x:c r="D60" s="4" t="str">
        <x:v>마포구</x:v>
      </x:c>
      <x:c r="E60" s="4" t="str">
        <x:v>P06</x:v>
      </x:c>
      <x:c r="F60" s="4" t="str">
        <x:v>냉동삼각김밥</x:v>
      </x:c>
      <x:c r="G60" s="4" t="str">
        <x:v>냉동식품</x:v>
      </x:c>
      <x:c r="H60" s="4" t="str">
        <x:v>냉동식품</x:v>
      </x:c>
      <x:c r="I60" s="42" t="n">
        <x:v>48</x:v>
      </x:c>
      <x:c r="J60" s="42" t="n">
        <x:v>48</x:v>
      </x:c>
      <x:c r="K60" s="42" t="n">
        <x:v>48</x:v>
      </x:c>
      <x:c r="L60" s="42" t="n">
        <x:v>48</x:v>
      </x:c>
      <x:c r="M60" s="42" t="n">
        <x:v>42.5</x:v>
      </x:c>
      <x:c r="N60" s="42" t="n">
        <x:v>1.6</x:v>
      </x:c>
      <x:c r="O60" s="42" t="n">
        <x:v>11</x:v>
      </x:c>
      <x:c r="P60" s="42" t="n">
        <x:v>48</x:v>
      </x:c>
      <x:c r="Q60" s="42" t="n">
        <x:v>48</x:v>
      </x:c>
      <x:c r="R60" s="42" t="n">
        <x:v>0</x:v>
      </x:c>
      <x:c r="S60" s="42" t="n">
        <x:v>0</x:v>
      </x:c>
      <x:c r="T60" s="42" t="n">
        <x:v>13</x:v>
      </x:c>
      <x:c r="U60" s="42" t="n">
        <x:v>13</x:v>
      </x:c>
      <x:c r="V60" s="42" t="n">
        <x:v>25</x:v>
      </x:c>
      <x:c r="W60" s="42" t="n">
        <x:v>25</x:v>
      </x:c>
      <x:c r="X60" s="42" t="n">
        <x:v>1800</x:v>
      </x:c>
      <x:c r="Y60" s="42" t="n">
        <x:v>2500</x:v>
      </x:c>
      <x:c r="Z60" s="42" t="n">
        <x:v>350</x:v>
      </x:c>
      <x:c r="AA60" s="42" t="n">
        <x:v>350</x:v>
      </x:c>
      <x:c r="AB60" s="42" t="n">
        <x:v>0.48</x:v>
      </x:c>
      <x:c r="AC60" s="42" t="n">
        <x:v>2</x:v>
      </x:c>
      <x:c r="AD60" s="42" t="n">
        <x:v>12000</x:v>
      </x:c>
      <x:c r="AE60" s="42" t="n">
        <x:v>1.44</x:v>
      </x:c>
      <x:c r="AF60" s="42" t="n">
        <x:v>1.44</x:v>
      </x:c>
      <x:c r="AG60" s="42" t="str">
        <x:v>Y</x:v>
      </x:c>
      <x:c r="AH60" s="42" t="n">
        <x:v>0.95</x:v>
      </x:c>
      <x:c r="AI60" s="42" t="n">
        <x:v>500</x:v>
      </x:c>
      <x:c r="AJ60" s="43" t="n">
        <x:v>59.5</x:v>
      </x:c>
    </x:row>
    <x:row r="61" ht="22" customHeight="1">
      <x:c r="A61" s="4" t="str">
        <x:v>S10-P06</x:v>
      </x:c>
      <x:c r="B61" s="4" t="str">
        <x:v>S10</x:v>
      </x:c>
      <x:c r="C61" s="4" t="str">
        <x:v>구파발점</x:v>
      </x:c>
      <x:c r="D61" s="4" t="str">
        <x:v>은평구</x:v>
      </x:c>
      <x:c r="E61" s="4" t="str">
        <x:v>P06</x:v>
      </x:c>
      <x:c r="F61" s="4" t="str">
        <x:v>냉동삼각김밥</x:v>
      </x:c>
      <x:c r="G61" s="4" t="str">
        <x:v>냉동식품</x:v>
      </x:c>
      <x:c r="H61" s="4" t="str">
        <x:v>냉동식품</x:v>
      </x:c>
      <x:c r="I61" s="42" t="n">
        <x:v>120</x:v>
      </x:c>
      <x:c r="J61" s="42" t="n">
        <x:v>120</x:v>
      </x:c>
      <x:c r="K61" s="42" t="n">
        <x:v>120</x:v>
      </x:c>
      <x:c r="L61" s="42" t="n">
        <x:v>120</x:v>
      </x:c>
      <x:c r="M61" s="42" t="n">
        <x:v>118</x:v>
      </x:c>
      <x:c r="N61" s="42" t="n">
        <x:v>0.6</x:v>
      </x:c>
      <x:c r="O61" s="42" t="n">
        <x:v>4</x:v>
      </x:c>
      <x:c r="P61" s="42" t="n">
        <x:v>18</x:v>
      </x:c>
      <x:c r="Q61" s="42" t="n">
        <x:v>18</x:v>
      </x:c>
      <x:c r="R61" s="42" t="n">
        <x:v>102</x:v>
      </x:c>
      <x:c r="S61" s="42" t="n">
        <x:v>0</x:v>
      </x:c>
      <x:c r="T61" s="42" t="n">
        <x:v>5</x:v>
      </x:c>
      <x:c r="U61" s="42" t="n">
        <x:v>5</x:v>
      </x:c>
      <x:c r="V61" s="42" t="n">
        <x:v>70</x:v>
      </x:c>
      <x:c r="W61" s="42" t="n">
        <x:v>70</x:v>
      </x:c>
      <x:c r="X61" s="42" t="n">
        <x:v>1800</x:v>
      </x:c>
      <x:c r="Y61" s="42" t="n">
        <x:v>2500</x:v>
      </x:c>
      <x:c r="Z61" s="42" t="n">
        <x:v>350</x:v>
      </x:c>
      <x:c r="AA61" s="42" t="n">
        <x:v>350</x:v>
      </x:c>
      <x:c r="AB61" s="42" t="n">
        <x:v>0.2</x:v>
      </x:c>
      <x:c r="AC61" s="42" t="n">
        <x:v>2</x:v>
      </x:c>
      <x:c r="AD61" s="42" t="n">
        <x:v>12000</x:v>
      </x:c>
      <x:c r="AE61" s="42" t="n">
        <x:v>1.44</x:v>
      </x:c>
      <x:c r="AF61" s="42" t="n">
        <x:v>1.44</x:v>
      </x:c>
      <x:c r="AG61" s="42" t="str">
        <x:v>Y</x:v>
      </x:c>
      <x:c r="AH61" s="42" t="n">
        <x:v>0.95</x:v>
      </x:c>
      <x:c r="AI61" s="42" t="n">
        <x:v>500</x:v>
      </x:c>
      <x:c r="AJ61" s="43" t="n">
        <x:v>87.5</x:v>
      </x:c>
    </x:row>
    <x:row r="62" ht="22" customHeight="1">
      <x:c r="A62" s="4" t="str">
        <x:v>S01-P07</x:v>
      </x:c>
      <x:c r="B62" s="4" t="str">
        <x:v>S01</x:v>
      </x:c>
      <x:c r="C62" s="4" t="str">
        <x:v>연신내점</x:v>
      </x:c>
      <x:c r="D62" s="4" t="str">
        <x:v>은평구</x:v>
      </x:c>
      <x:c r="E62" s="4" t="str">
        <x:v>P07</x:v>
      </x:c>
      <x:c r="F62" s="4" t="str">
        <x:v>브레디크소금버터롤</x:v>
      </x:c>
      <x:c r="G62" s="4" t="str">
        <x:v>베이커리</x:v>
      </x:c>
      <x:c r="H62" s="4" t="str">
        <x:v>베이커리</x:v>
      </x:c>
      <x:c r="I62" s="42" t="n">
        <x:v>42</x:v>
      </x:c>
      <x:c r="J62" s="42" t="n">
        <x:v>42</x:v>
      </x:c>
      <x:c r="K62" s="42" t="n">
        <x:v>42</x:v>
      </x:c>
      <x:c r="L62" s="42" t="n">
        <x:v>42</x:v>
      </x:c>
      <x:c r="M62" s="42" t="n">
        <x:v>37.5</x:v>
      </x:c>
      <x:c r="N62" s="42" t="n">
        <x:v>1.4</x:v>
      </x:c>
      <x:c r="O62" s="42" t="n">
        <x:v>9</x:v>
      </x:c>
      <x:c r="P62" s="42" t="n">
        <x:v>42</x:v>
      </x:c>
      <x:c r="Q62" s="42" t="n">
        <x:v>42</x:v>
      </x:c>
      <x:c r="R62" s="42" t="n">
        <x:v>0</x:v>
      </x:c>
      <x:c r="S62" s="42" t="n">
        <x:v>0</x:v>
      </x:c>
      <x:c r="T62" s="42" t="n">
        <x:v>11</x:v>
      </x:c>
      <x:c r="U62" s="42" t="n">
        <x:v>11</x:v>
      </x:c>
      <x:c r="V62" s="42" t="n">
        <x:v>25</x:v>
      </x:c>
      <x:c r="W62" s="42" t="n">
        <x:v>25</x:v>
      </x:c>
      <x:c r="X62" s="42" t="n">
        <x:v>2090</x:v>
      </x:c>
      <x:c r="Y62" s="42" t="n">
        <x:v>2900</x:v>
      </x:c>
      <x:c r="Z62" s="42" t="n">
        <x:v>400</x:v>
      </x:c>
      <x:c r="AA62" s="42" t="n">
        <x:v>400</x:v>
      </x:c>
      <x:c r="AB62" s="42" t="n">
        <x:v>0.42</x:v>
      </x:c>
      <x:c r="AC62" s="42" t="n">
        <x:v>1</x:v>
      </x:c>
      <x:c r="AD62" s="42" t="n">
        <x:v>8000</x:v>
      </x:c>
      <x:c r="AE62" s="42" t="n">
        <x:v>1.67</x:v>
      </x:c>
      <x:c r="AF62" s="42" t="n">
        <x:v>1.67</x:v>
      </x:c>
      <x:c r="AG62" s="42" t="str">
        <x:v>N</x:v>
      </x:c>
      <x:c r="AH62" s="42" t="n">
        <x:v>0.95</x:v>
      </x:c>
      <x:c r="AI62" s="42" t="n">
        <x:v>500</x:v>
      </x:c>
      <x:c r="AJ62" s="43" t="n">
        <x:v>66.5</x:v>
      </x:c>
    </x:row>
    <x:row r="63" ht="22" customHeight="1">
      <x:c r="A63" s="4" t="str">
        <x:v>S02-P07</x:v>
      </x:c>
      <x:c r="B63" s="4" t="str">
        <x:v>S02</x:v>
      </x:c>
      <x:c r="C63" s="4" t="str">
        <x:v>불광점</x:v>
      </x:c>
      <x:c r="D63" s="4" t="str">
        <x:v>은평구</x:v>
      </x:c>
      <x:c r="E63" s="4" t="str">
        <x:v>P07</x:v>
      </x:c>
      <x:c r="F63" s="4" t="str">
        <x:v>브레디크소금버터롤</x:v>
      </x:c>
      <x:c r="G63" s="4" t="str">
        <x:v>베이커리</x:v>
      </x:c>
      <x:c r="H63" s="4" t="str">
        <x:v>베이커리</x:v>
      </x:c>
      <x:c r="I63" s="42" t="n">
        <x:v>44</x:v>
      </x:c>
      <x:c r="J63" s="42" t="n">
        <x:v>44</x:v>
      </x:c>
      <x:c r="K63" s="42" t="n">
        <x:v>44</x:v>
      </x:c>
      <x:c r="L63" s="42" t="n">
        <x:v>44</x:v>
      </x:c>
      <x:c r="M63" s="42" t="n">
        <x:v>39</x:v>
      </x:c>
      <x:c r="N63" s="42" t="n">
        <x:v>1.47</x:v>
      </x:c>
      <x:c r="O63" s="42" t="n">
        <x:v>10</x:v>
      </x:c>
      <x:c r="P63" s="42" t="n">
        <x:v>44</x:v>
      </x:c>
      <x:c r="Q63" s="42" t="n">
        <x:v>44</x:v>
      </x:c>
      <x:c r="R63" s="42" t="n">
        <x:v>0</x:v>
      </x:c>
      <x:c r="S63" s="42" t="n">
        <x:v>0</x:v>
      </x:c>
      <x:c r="T63" s="42" t="n">
        <x:v>11</x:v>
      </x:c>
      <x:c r="U63" s="42" t="n">
        <x:v>11</x:v>
      </x:c>
      <x:c r="V63" s="42" t="n">
        <x:v>25</x:v>
      </x:c>
      <x:c r="W63" s="42" t="n">
        <x:v>25</x:v>
      </x:c>
      <x:c r="X63" s="42" t="n">
        <x:v>2090</x:v>
      </x:c>
      <x:c r="Y63" s="42" t="n">
        <x:v>2900</x:v>
      </x:c>
      <x:c r="Z63" s="42" t="n">
        <x:v>400</x:v>
      </x:c>
      <x:c r="AA63" s="42" t="n">
        <x:v>400</x:v>
      </x:c>
      <x:c r="AB63" s="42" t="n">
        <x:v>0.44</x:v>
      </x:c>
      <x:c r="AC63" s="42" t="n">
        <x:v>1</x:v>
      </x:c>
      <x:c r="AD63" s="42" t="n">
        <x:v>8000</x:v>
      </x:c>
      <x:c r="AE63" s="42" t="n">
        <x:v>1.67</x:v>
      </x:c>
      <x:c r="AF63" s="42" t="n">
        <x:v>1.67</x:v>
      </x:c>
      <x:c r="AG63" s="42" t="str">
        <x:v>N</x:v>
      </x:c>
      <x:c r="AH63" s="42" t="n">
        <x:v>0.95</x:v>
      </x:c>
      <x:c r="AI63" s="42" t="n">
        <x:v>500</x:v>
      </x:c>
      <x:c r="AJ63" s="43" t="n">
        <x:v>66.5</x:v>
      </x:c>
    </x:row>
    <x:row r="64" ht="22" customHeight="1">
      <x:c r="A64" s="4" t="str">
        <x:v>S03-P07</x:v>
      </x:c>
      <x:c r="B64" s="4" t="str">
        <x:v>S03</x:v>
      </x:c>
      <x:c r="C64" s="4" t="str">
        <x:v>응암점</x:v>
      </x:c>
      <x:c r="D64" s="4" t="str">
        <x:v>은평구</x:v>
      </x:c>
      <x:c r="E64" s="4" t="str">
        <x:v>P07</x:v>
      </x:c>
      <x:c r="F64" s="4" t="str">
        <x:v>브레디크소금버터롤</x:v>
      </x:c>
      <x:c r="G64" s="4" t="str">
        <x:v>베이커리</x:v>
      </x:c>
      <x:c r="H64" s="4" t="str">
        <x:v>베이커리</x:v>
      </x:c>
      <x:c r="I64" s="42" t="n">
        <x:v>46</x:v>
      </x:c>
      <x:c r="J64" s="42" t="n">
        <x:v>46</x:v>
      </x:c>
      <x:c r="K64" s="42" t="n">
        <x:v>46</x:v>
      </x:c>
      <x:c r="L64" s="42" t="n">
        <x:v>46</x:v>
      </x:c>
      <x:c r="M64" s="42" t="n">
        <x:v>41</x:v>
      </x:c>
      <x:c r="N64" s="42" t="n">
        <x:v>1.53</x:v>
      </x:c>
      <x:c r="O64" s="42" t="n">
        <x:v>10</x:v>
      </x:c>
      <x:c r="P64" s="42" t="n">
        <x:v>46</x:v>
      </x:c>
      <x:c r="Q64" s="42" t="n">
        <x:v>46</x:v>
      </x:c>
      <x:c r="R64" s="42" t="n">
        <x:v>0</x:v>
      </x:c>
      <x:c r="S64" s="42" t="n">
        <x:v>0</x:v>
      </x:c>
      <x:c r="T64" s="42" t="n">
        <x:v>11</x:v>
      </x:c>
      <x:c r="U64" s="42" t="n">
        <x:v>11</x:v>
      </x:c>
      <x:c r="V64" s="42" t="n">
        <x:v>25</x:v>
      </x:c>
      <x:c r="W64" s="42" t="n">
        <x:v>25</x:v>
      </x:c>
      <x:c r="X64" s="42" t="n">
        <x:v>2090</x:v>
      </x:c>
      <x:c r="Y64" s="42" t="n">
        <x:v>2900</x:v>
      </x:c>
      <x:c r="Z64" s="42" t="n">
        <x:v>400</x:v>
      </x:c>
      <x:c r="AA64" s="42" t="n">
        <x:v>400</x:v>
      </x:c>
      <x:c r="AB64" s="42" t="n">
        <x:v>0.46</x:v>
      </x:c>
      <x:c r="AC64" s="42" t="n">
        <x:v>1</x:v>
      </x:c>
      <x:c r="AD64" s="42" t="n">
        <x:v>8000</x:v>
      </x:c>
      <x:c r="AE64" s="42" t="n">
        <x:v>1.67</x:v>
      </x:c>
      <x:c r="AF64" s="42" t="n">
        <x:v>1.67</x:v>
      </x:c>
      <x:c r="AG64" s="42" t="str">
        <x:v>N</x:v>
      </x:c>
      <x:c r="AH64" s="42" t="n">
        <x:v>0.95</x:v>
      </x:c>
      <x:c r="AI64" s="42" t="n">
        <x:v>500</x:v>
      </x:c>
      <x:c r="AJ64" s="43" t="n">
        <x:v>66.5</x:v>
      </x:c>
    </x:row>
    <x:row r="65" ht="22" customHeight="1">
      <x:c r="A65" s="4" t="str">
        <x:v>S04-P07</x:v>
      </x:c>
      <x:c r="B65" s="4" t="str">
        <x:v>S04</x:v>
      </x:c>
      <x:c r="C65" s="4" t="str">
        <x:v>홍제점</x:v>
      </x:c>
      <x:c r="D65" s="4" t="str">
        <x:v>서대문구</x:v>
      </x:c>
      <x:c r="E65" s="4" t="str">
        <x:v>P07</x:v>
      </x:c>
      <x:c r="F65" s="4" t="str">
        <x:v>브레디크소금버터롤</x:v>
      </x:c>
      <x:c r="G65" s="4" t="str">
        <x:v>베이커리</x:v>
      </x:c>
      <x:c r="H65" s="4" t="str">
        <x:v>베이커리</x:v>
      </x:c>
      <x:c r="I65" s="42" t="n">
        <x:v>95</x:v>
      </x:c>
      <x:c r="J65" s="42" t="n">
        <x:v>95</x:v>
      </x:c>
      <x:c r="K65" s="42" t="n">
        <x:v>95</x:v>
      </x:c>
      <x:c r="L65" s="42" t="n">
        <x:v>95</x:v>
      </x:c>
      <x:c r="M65" s="42" t="n">
        <x:v>93.5</x:v>
      </x:c>
      <x:c r="N65" s="42" t="n">
        <x:v>0.5</x:v>
      </x:c>
      <x:c r="O65" s="42" t="n">
        <x:v>3</x:v>
      </x:c>
      <x:c r="P65" s="42" t="n">
        <x:v>15</x:v>
      </x:c>
      <x:c r="Q65" s="42" t="n">
        <x:v>15</x:v>
      </x:c>
      <x:c r="R65" s="42" t="n">
        <x:v>80</x:v>
      </x:c>
      <x:c r="S65" s="42" t="n">
        <x:v>0</x:v>
      </x:c>
      <x:c r="T65" s="42" t="n">
        <x:v>3</x:v>
      </x:c>
      <x:c r="U65" s="42" t="n">
        <x:v>3</x:v>
      </x:c>
      <x:c r="V65" s="42" t="n">
        <x:v>70</x:v>
      </x:c>
      <x:c r="W65" s="42" t="n">
        <x:v>70</x:v>
      </x:c>
      <x:c r="X65" s="42" t="n">
        <x:v>2090</x:v>
      </x:c>
      <x:c r="Y65" s="42" t="n">
        <x:v>2900</x:v>
      </x:c>
      <x:c r="Z65" s="42" t="n">
        <x:v>400</x:v>
      </x:c>
      <x:c r="AA65" s="42" t="n">
        <x:v>400</x:v>
      </x:c>
      <x:c r="AB65" s="42" t="n">
        <x:v>0.2</x:v>
      </x:c>
      <x:c r="AC65" s="42" t="n">
        <x:v>1</x:v>
      </x:c>
      <x:c r="AD65" s="42" t="n">
        <x:v>8000</x:v>
      </x:c>
      <x:c r="AE65" s="42" t="n">
        <x:v>1.67</x:v>
      </x:c>
      <x:c r="AF65" s="42" t="n">
        <x:v>1.67</x:v>
      </x:c>
      <x:c r="AG65" s="42" t="str">
        <x:v>N</x:v>
      </x:c>
      <x:c r="AH65" s="42" t="n">
        <x:v>0.95</x:v>
      </x:c>
      <x:c r="AI65" s="42" t="n">
        <x:v>500</x:v>
      </x:c>
      <x:c r="AJ65" s="43" t="n">
        <x:v>94.5</x:v>
      </x:c>
    </x:row>
    <x:row r="66" ht="22" customHeight="1">
      <x:c r="A66" s="4" t="str">
        <x:v>S05-P07</x:v>
      </x:c>
      <x:c r="B66" s="4" t="str">
        <x:v>S05</x:v>
      </x:c>
      <x:c r="C66" s="4" t="str">
        <x:v>신촌점</x:v>
      </x:c>
      <x:c r="D66" s="4" t="str">
        <x:v>서대문구</x:v>
      </x:c>
      <x:c r="E66" s="4" t="str">
        <x:v>P07</x:v>
      </x:c>
      <x:c r="F66" s="4" t="str">
        <x:v>브레디크소금버터롤</x:v>
      </x:c>
      <x:c r="G66" s="4" t="str">
        <x:v>베이커리</x:v>
      </x:c>
      <x:c r="H66" s="4" t="str">
        <x:v>베이커리</x:v>
      </x:c>
      <x:c r="I66" s="42" t="n">
        <x:v>8</x:v>
      </x:c>
      <x:c r="J66" s="42" t="n">
        <x:v>8</x:v>
      </x:c>
      <x:c r="K66" s="42" t="n">
        <x:v>8</x:v>
      </x:c>
      <x:c r="L66" s="42" t="n">
        <x:v>8</x:v>
      </x:c>
      <x:c r="M66" s="42" t="n">
        <x:v>4</x:v>
      </x:c>
      <x:c r="N66" s="42" t="n">
        <x:v>2.17</x:v>
      </x:c>
      <x:c r="O66" s="42" t="n">
        <x:v>16</x:v>
      </x:c>
      <x:c r="P66" s="42" t="n">
        <x:v>65</x:v>
      </x:c>
      <x:c r="Q66" s="42" t="n">
        <x:v>65</x:v>
      </x:c>
      <x:c r="R66" s="42" t="n">
        <x:v>0</x:v>
      </x:c>
      <x:c r="S66" s="42" t="n">
        <x:v>57</x:v>
      </x:c>
      <x:c r="T66" s="42" t="n">
        <x:v>8</x:v>
      </x:c>
      <x:c r="U66" s="42" t="n">
        <x:v>8</x:v>
      </x:c>
      <x:c r="V66" s="42" t="n">
        <x:v>15</x:v>
      </x:c>
      <x:c r="W66" s="42" t="n">
        <x:v>15</x:v>
      </x:c>
      <x:c r="X66" s="42" t="n">
        <x:v>2090</x:v>
      </x:c>
      <x:c r="Y66" s="42" t="n">
        <x:v>2900</x:v>
      </x:c>
      <x:c r="Z66" s="42" t="n">
        <x:v>400</x:v>
      </x:c>
      <x:c r="AA66" s="42" t="n">
        <x:v>400</x:v>
      </x:c>
      <x:c r="AB66" s="42" t="n">
        <x:v>0.65</x:v>
      </x:c>
      <x:c r="AC66" s="42" t="n">
        <x:v>1</x:v>
      </x:c>
      <x:c r="AD66" s="42" t="n">
        <x:v>8000</x:v>
      </x:c>
      <x:c r="AE66" s="42" t="n">
        <x:v>1.67</x:v>
      </x:c>
      <x:c r="AF66" s="42" t="n">
        <x:v>1.67</x:v>
      </x:c>
      <x:c r="AG66" s="42" t="str">
        <x:v>N</x:v>
      </x:c>
      <x:c r="AH66" s="42" t="n">
        <x:v>0.95</x:v>
      </x:c>
      <x:c r="AI66" s="42" t="n">
        <x:v>500</x:v>
      </x:c>
      <x:c r="AJ66" s="43" t="n">
        <x:v>77</x:v>
      </x:c>
    </x:row>
    <x:row r="67" ht="22" customHeight="1">
      <x:c r="A67" s="4" t="str">
        <x:v>S06-P07</x:v>
      </x:c>
      <x:c r="B67" s="4" t="str">
        <x:v>S06</x:v>
      </x:c>
      <x:c r="C67" s="4" t="str">
        <x:v>마포점</x:v>
      </x:c>
      <x:c r="D67" s="4" t="str">
        <x:v>마포구</x:v>
      </x:c>
      <x:c r="E67" s="4" t="str">
        <x:v>P07</x:v>
      </x:c>
      <x:c r="F67" s="4" t="str">
        <x:v>브레디크소금버터롤</x:v>
      </x:c>
      <x:c r="G67" s="4" t="str">
        <x:v>베이커리</x:v>
      </x:c>
      <x:c r="H67" s="4" t="str">
        <x:v>베이커리</x:v>
      </x:c>
      <x:c r="I67" s="42" t="n">
        <x:v>42</x:v>
      </x:c>
      <x:c r="J67" s="42" t="n">
        <x:v>42</x:v>
      </x:c>
      <x:c r="K67" s="42" t="n">
        <x:v>42</x:v>
      </x:c>
      <x:c r="L67" s="42" t="n">
        <x:v>42</x:v>
      </x:c>
      <x:c r="M67" s="42" t="n">
        <x:v>37.5</x:v>
      </x:c>
      <x:c r="N67" s="42" t="n">
        <x:v>1.4</x:v>
      </x:c>
      <x:c r="O67" s="42" t="n">
        <x:v>9</x:v>
      </x:c>
      <x:c r="P67" s="42" t="n">
        <x:v>42</x:v>
      </x:c>
      <x:c r="Q67" s="42" t="n">
        <x:v>42</x:v>
      </x:c>
      <x:c r="R67" s="42" t="n">
        <x:v>0</x:v>
      </x:c>
      <x:c r="S67" s="42" t="n">
        <x:v>0</x:v>
      </x:c>
      <x:c r="T67" s="42" t="n">
        <x:v>11</x:v>
      </x:c>
      <x:c r="U67" s="42" t="n">
        <x:v>11</x:v>
      </x:c>
      <x:c r="V67" s="42" t="n">
        <x:v>25</x:v>
      </x:c>
      <x:c r="W67" s="42" t="n">
        <x:v>25</x:v>
      </x:c>
      <x:c r="X67" s="42" t="n">
        <x:v>2090</x:v>
      </x:c>
      <x:c r="Y67" s="42" t="n">
        <x:v>2900</x:v>
      </x:c>
      <x:c r="Z67" s="42" t="n">
        <x:v>400</x:v>
      </x:c>
      <x:c r="AA67" s="42" t="n">
        <x:v>400</x:v>
      </x:c>
      <x:c r="AB67" s="42" t="n">
        <x:v>0.42</x:v>
      </x:c>
      <x:c r="AC67" s="42" t="n">
        <x:v>1</x:v>
      </x:c>
      <x:c r="AD67" s="42" t="n">
        <x:v>8000</x:v>
      </x:c>
      <x:c r="AE67" s="42" t="n">
        <x:v>1.67</x:v>
      </x:c>
      <x:c r="AF67" s="42" t="n">
        <x:v>1.67</x:v>
      </x:c>
      <x:c r="AG67" s="42" t="str">
        <x:v>N</x:v>
      </x:c>
      <x:c r="AH67" s="42" t="n">
        <x:v>0.95</x:v>
      </x:c>
      <x:c r="AI67" s="42" t="n">
        <x:v>500</x:v>
      </x:c>
      <x:c r="AJ67" s="43" t="n">
        <x:v>66.5</x:v>
      </x:c>
    </x:row>
    <x:row r="68" ht="22" customHeight="1">
      <x:c r="A68" s="4" t="str">
        <x:v>S07-P07</x:v>
      </x:c>
      <x:c r="B68" s="4" t="str">
        <x:v>S07</x:v>
      </x:c>
      <x:c r="C68" s="4" t="str">
        <x:v>종로점</x:v>
      </x:c>
      <x:c r="D68" s="4" t="str">
        <x:v>종로구</x:v>
      </x:c>
      <x:c r="E68" s="4" t="str">
        <x:v>P07</x:v>
      </x:c>
      <x:c r="F68" s="4" t="str">
        <x:v>브레디크소금버터롤</x:v>
      </x:c>
      <x:c r="G68" s="4" t="str">
        <x:v>베이커리</x:v>
      </x:c>
      <x:c r="H68" s="4" t="str">
        <x:v>베이커리</x:v>
      </x:c>
      <x:c r="I68" s="42" t="n">
        <x:v>44</x:v>
      </x:c>
      <x:c r="J68" s="42" t="n">
        <x:v>44</x:v>
      </x:c>
      <x:c r="K68" s="42" t="n">
        <x:v>44</x:v>
      </x:c>
      <x:c r="L68" s="42" t="n">
        <x:v>44</x:v>
      </x:c>
      <x:c r="M68" s="42" t="n">
        <x:v>39</x:v>
      </x:c>
      <x:c r="N68" s="42" t="n">
        <x:v>1.47</x:v>
      </x:c>
      <x:c r="O68" s="42" t="n">
        <x:v>10</x:v>
      </x:c>
      <x:c r="P68" s="42" t="n">
        <x:v>44</x:v>
      </x:c>
      <x:c r="Q68" s="42" t="n">
        <x:v>44</x:v>
      </x:c>
      <x:c r="R68" s="42" t="n">
        <x:v>0</x:v>
      </x:c>
      <x:c r="S68" s="42" t="n">
        <x:v>0</x:v>
      </x:c>
      <x:c r="T68" s="42" t="n">
        <x:v>11</x:v>
      </x:c>
      <x:c r="U68" s="42" t="n">
        <x:v>11</x:v>
      </x:c>
      <x:c r="V68" s="42" t="n">
        <x:v>25</x:v>
      </x:c>
      <x:c r="W68" s="42" t="n">
        <x:v>25</x:v>
      </x:c>
      <x:c r="X68" s="42" t="n">
        <x:v>2090</x:v>
      </x:c>
      <x:c r="Y68" s="42" t="n">
        <x:v>2900</x:v>
      </x:c>
      <x:c r="Z68" s="42" t="n">
        <x:v>400</x:v>
      </x:c>
      <x:c r="AA68" s="42" t="n">
        <x:v>400</x:v>
      </x:c>
      <x:c r="AB68" s="42" t="n">
        <x:v>0.44</x:v>
      </x:c>
      <x:c r="AC68" s="42" t="n">
        <x:v>1</x:v>
      </x:c>
      <x:c r="AD68" s="42" t="n">
        <x:v>8000</x:v>
      </x:c>
      <x:c r="AE68" s="42" t="n">
        <x:v>1.67</x:v>
      </x:c>
      <x:c r="AF68" s="42" t="n">
        <x:v>1.67</x:v>
      </x:c>
      <x:c r="AG68" s="42" t="str">
        <x:v>N</x:v>
      </x:c>
      <x:c r="AH68" s="42" t="n">
        <x:v>0.95</x:v>
      </x:c>
      <x:c r="AI68" s="42" t="n">
        <x:v>500</x:v>
      </x:c>
      <x:c r="AJ68" s="43" t="n">
        <x:v>66.5</x:v>
      </x:c>
    </x:row>
    <x:row r="69" ht="22" customHeight="1">
      <x:c r="A69" s="4" t="str">
        <x:v>S08-P07</x:v>
      </x:c>
      <x:c r="B69" s="4" t="str">
        <x:v>S08</x:v>
      </x:c>
      <x:c r="C69" s="4" t="str">
        <x:v>용산점</x:v>
      </x:c>
      <x:c r="D69" s="4" t="str">
        <x:v>용산구</x:v>
      </x:c>
      <x:c r="E69" s="4" t="str">
        <x:v>P07</x:v>
      </x:c>
      <x:c r="F69" s="4" t="str">
        <x:v>브레디크소금버터롤</x:v>
      </x:c>
      <x:c r="G69" s="4" t="str">
        <x:v>베이커리</x:v>
      </x:c>
      <x:c r="H69" s="4" t="str">
        <x:v>베이커리</x:v>
      </x:c>
      <x:c r="I69" s="42" t="n">
        <x:v>46</x:v>
      </x:c>
      <x:c r="J69" s="42" t="n">
        <x:v>46</x:v>
      </x:c>
      <x:c r="K69" s="42" t="n">
        <x:v>46</x:v>
      </x:c>
      <x:c r="L69" s="42" t="n">
        <x:v>46</x:v>
      </x:c>
      <x:c r="M69" s="42" t="n">
        <x:v>41</x:v>
      </x:c>
      <x:c r="N69" s="42" t="n">
        <x:v>1.53</x:v>
      </x:c>
      <x:c r="O69" s="42" t="n">
        <x:v>10</x:v>
      </x:c>
      <x:c r="P69" s="42" t="n">
        <x:v>46</x:v>
      </x:c>
      <x:c r="Q69" s="42" t="n">
        <x:v>46</x:v>
      </x:c>
      <x:c r="R69" s="42" t="n">
        <x:v>0</x:v>
      </x:c>
      <x:c r="S69" s="42" t="n">
        <x:v>0</x:v>
      </x:c>
      <x:c r="T69" s="42" t="n">
        <x:v>11</x:v>
      </x:c>
      <x:c r="U69" s="42" t="n">
        <x:v>11</x:v>
      </x:c>
      <x:c r="V69" s="42" t="n">
        <x:v>25</x:v>
      </x:c>
      <x:c r="W69" s="42" t="n">
        <x:v>25</x:v>
      </x:c>
      <x:c r="X69" s="42" t="n">
        <x:v>2090</x:v>
      </x:c>
      <x:c r="Y69" s="42" t="n">
        <x:v>2900</x:v>
      </x:c>
      <x:c r="Z69" s="42" t="n">
        <x:v>400</x:v>
      </x:c>
      <x:c r="AA69" s="42" t="n">
        <x:v>400</x:v>
      </x:c>
      <x:c r="AB69" s="42" t="n">
        <x:v>0.46</x:v>
      </x:c>
      <x:c r="AC69" s="42" t="n">
        <x:v>1</x:v>
      </x:c>
      <x:c r="AD69" s="42" t="n">
        <x:v>8000</x:v>
      </x:c>
      <x:c r="AE69" s="42" t="n">
        <x:v>1.67</x:v>
      </x:c>
      <x:c r="AF69" s="42" t="n">
        <x:v>1.67</x:v>
      </x:c>
      <x:c r="AG69" s="42" t="str">
        <x:v>N</x:v>
      </x:c>
      <x:c r="AH69" s="42" t="n">
        <x:v>0.95</x:v>
      </x:c>
      <x:c r="AI69" s="42" t="n">
        <x:v>500</x:v>
      </x:c>
      <x:c r="AJ69" s="43" t="n">
        <x:v>66.5</x:v>
      </x:c>
    </x:row>
    <x:row r="70" ht="22" customHeight="1">
      <x:c r="A70" s="4" t="str">
        <x:v>S09-P07</x:v>
      </x:c>
      <x:c r="B70" s="4" t="str">
        <x:v>S09</x:v>
      </x:c>
      <x:c r="C70" s="4" t="str">
        <x:v>상암점</x:v>
      </x:c>
      <x:c r="D70" s="4" t="str">
        <x:v>마포구</x:v>
      </x:c>
      <x:c r="E70" s="4" t="str">
        <x:v>P07</x:v>
      </x:c>
      <x:c r="F70" s="4" t="str">
        <x:v>브레디크소금버터롤</x:v>
      </x:c>
      <x:c r="G70" s="4" t="str">
        <x:v>베이커리</x:v>
      </x:c>
      <x:c r="H70" s="4" t="str">
        <x:v>베이커리</x:v>
      </x:c>
      <x:c r="I70" s="42" t="n">
        <x:v>48</x:v>
      </x:c>
      <x:c r="J70" s="42" t="n">
        <x:v>48</x:v>
      </x:c>
      <x:c r="K70" s="42" t="n">
        <x:v>48</x:v>
      </x:c>
      <x:c r="L70" s="42" t="n">
        <x:v>48</x:v>
      </x:c>
      <x:c r="M70" s="42" t="n">
        <x:v>42.5</x:v>
      </x:c>
      <x:c r="N70" s="42" t="n">
        <x:v>1.6</x:v>
      </x:c>
      <x:c r="O70" s="42" t="n">
        <x:v>11</x:v>
      </x:c>
      <x:c r="P70" s="42" t="n">
        <x:v>48</x:v>
      </x:c>
      <x:c r="Q70" s="42" t="n">
        <x:v>48</x:v>
      </x:c>
      <x:c r="R70" s="42" t="n">
        <x:v>0</x:v>
      </x:c>
      <x:c r="S70" s="42" t="n">
        <x:v>0</x:v>
      </x:c>
      <x:c r="T70" s="42" t="n">
        <x:v>11</x:v>
      </x:c>
      <x:c r="U70" s="42" t="n">
        <x:v>11</x:v>
      </x:c>
      <x:c r="V70" s="42" t="n">
        <x:v>25</x:v>
      </x:c>
      <x:c r="W70" s="42" t="n">
        <x:v>25</x:v>
      </x:c>
      <x:c r="X70" s="42" t="n">
        <x:v>2090</x:v>
      </x:c>
      <x:c r="Y70" s="42" t="n">
        <x:v>2900</x:v>
      </x:c>
      <x:c r="Z70" s="42" t="n">
        <x:v>400</x:v>
      </x:c>
      <x:c r="AA70" s="42" t="n">
        <x:v>400</x:v>
      </x:c>
      <x:c r="AB70" s="42" t="n">
        <x:v>0.48</x:v>
      </x:c>
      <x:c r="AC70" s="42" t="n">
        <x:v>1</x:v>
      </x:c>
      <x:c r="AD70" s="42" t="n">
        <x:v>8000</x:v>
      </x:c>
      <x:c r="AE70" s="42" t="n">
        <x:v>1.67</x:v>
      </x:c>
      <x:c r="AF70" s="42" t="n">
        <x:v>1.67</x:v>
      </x:c>
      <x:c r="AG70" s="42" t="str">
        <x:v>N</x:v>
      </x:c>
      <x:c r="AH70" s="42" t="n">
        <x:v>0.95</x:v>
      </x:c>
      <x:c r="AI70" s="42" t="n">
        <x:v>500</x:v>
      </x:c>
      <x:c r="AJ70" s="43" t="n">
        <x:v>66.5</x:v>
      </x:c>
    </x:row>
    <x:row r="71" ht="22" customHeight="1">
      <x:c r="A71" s="4" t="str">
        <x:v>S10-P07</x:v>
      </x:c>
      <x:c r="B71" s="4" t="str">
        <x:v>S10</x:v>
      </x:c>
      <x:c r="C71" s="4" t="str">
        <x:v>구파발점</x:v>
      </x:c>
      <x:c r="D71" s="4" t="str">
        <x:v>은평구</x:v>
      </x:c>
      <x:c r="E71" s="4" t="str">
        <x:v>P07</x:v>
      </x:c>
      <x:c r="F71" s="4" t="str">
        <x:v>브레디크소금버터롤</x:v>
      </x:c>
      <x:c r="G71" s="4" t="str">
        <x:v>베이커리</x:v>
      </x:c>
      <x:c r="H71" s="4" t="str">
        <x:v>베이커리</x:v>
      </x:c>
      <x:c r="I71" s="42" t="n">
        <x:v>40</x:v>
      </x:c>
      <x:c r="J71" s="42" t="n">
        <x:v>40</x:v>
      </x:c>
      <x:c r="K71" s="42" t="n">
        <x:v>40</x:v>
      </x:c>
      <x:c r="L71" s="42" t="n">
        <x:v>40</x:v>
      </x:c>
      <x:c r="M71" s="42" t="n">
        <x:v>35.5</x:v>
      </x:c>
      <x:c r="N71" s="42" t="n">
        <x:v>1.33</x:v>
      </x:c>
      <x:c r="O71" s="42" t="n">
        <x:v>9</x:v>
      </x:c>
      <x:c r="P71" s="42" t="n">
        <x:v>40</x:v>
      </x:c>
      <x:c r="Q71" s="42" t="n">
        <x:v>40</x:v>
      </x:c>
      <x:c r="R71" s="42" t="n">
        <x:v>0</x:v>
      </x:c>
      <x:c r="S71" s="42" t="n">
        <x:v>0</x:v>
      </x:c>
      <x:c r="T71" s="42" t="n">
        <x:v>11</x:v>
      </x:c>
      <x:c r="U71" s="42" t="n">
        <x:v>11</x:v>
      </x:c>
      <x:c r="V71" s="42" t="n">
        <x:v>25</x:v>
      </x:c>
      <x:c r="W71" s="42" t="n">
        <x:v>25</x:v>
      </x:c>
      <x:c r="X71" s="42" t="n">
        <x:v>2090</x:v>
      </x:c>
      <x:c r="Y71" s="42" t="n">
        <x:v>2900</x:v>
      </x:c>
      <x:c r="Z71" s="42" t="n">
        <x:v>400</x:v>
      </x:c>
      <x:c r="AA71" s="42" t="n">
        <x:v>400</x:v>
      </x:c>
      <x:c r="AB71" s="42" t="n">
        <x:v>0.4</x:v>
      </x:c>
      <x:c r="AC71" s="42" t="n">
        <x:v>1</x:v>
      </x:c>
      <x:c r="AD71" s="42" t="n">
        <x:v>8000</x:v>
      </x:c>
      <x:c r="AE71" s="42" t="n">
        <x:v>1.67</x:v>
      </x:c>
      <x:c r="AF71" s="42" t="n">
        <x:v>1.67</x:v>
      </x:c>
      <x:c r="AG71" s="42" t="str">
        <x:v>N</x:v>
      </x:c>
      <x:c r="AH71" s="42" t="n">
        <x:v>0.95</x:v>
      </x:c>
      <x:c r="AI71" s="42" t="n">
        <x:v>500</x:v>
      </x:c>
      <x:c r="AJ71" s="43" t="n">
        <x:v>66.5</x:v>
      </x:c>
    </x:row>
    <x:row r="72" ht="22" customHeight="1">
      <x:c r="A72" s="4" t="str">
        <x:v>S01-P08</x:v>
      </x:c>
      <x:c r="B72" s="4" t="str">
        <x:v>S01</x:v>
      </x:c>
      <x:c r="C72" s="4" t="str">
        <x:v>연신내점</x:v>
      </x:c>
      <x:c r="D72" s="4" t="str">
        <x:v>은평구</x:v>
      </x:c>
      <x:c r="E72" s="4" t="str">
        <x:v>P08</x:v>
      </x:c>
      <x:c r="F72" s="4" t="str">
        <x:v>오뚜기진라면컵</x:v>
      </x:c>
      <x:c r="G72" s="4" t="str">
        <x:v>라면</x:v>
      </x:c>
      <x:c r="H72" s="4" t="str">
        <x:v>라면</x:v>
      </x:c>
      <x:c r="I72" s="42" t="n">
        <x:v>10</x:v>
      </x:c>
      <x:c r="J72" s="42" t="n">
        <x:v>10</x:v>
      </x:c>
      <x:c r="K72" s="42" t="n">
        <x:v>10</x:v>
      </x:c>
      <x:c r="L72" s="42" t="n">
        <x:v>10</x:v>
      </x:c>
      <x:c r="M72" s="42" t="n">
        <x:v>5</x:v>
      </x:c>
      <x:c r="N72" s="42" t="n">
        <x:v>1.83</x:v>
      </x:c>
      <x:c r="O72" s="42" t="n">
        <x:v>13</x:v>
      </x:c>
      <x:c r="P72" s="42" t="n">
        <x:v>55</x:v>
      </x:c>
      <x:c r="Q72" s="42" t="n">
        <x:v>55</x:v>
      </x:c>
      <x:c r="R72" s="42" t="n">
        <x:v>0</x:v>
      </x:c>
      <x:c r="S72" s="42" t="n">
        <x:v>45</x:v>
      </x:c>
      <x:c r="T72" s="42" t="n">
        <x:v>30</x:v>
      </x:c>
      <x:c r="U72" s="42" t="n">
        <x:v>30</x:v>
      </x:c>
      <x:c r="V72" s="42" t="n">
        <x:v>15</x:v>
      </x:c>
      <x:c r="W72" s="42" t="n">
        <x:v>15</x:v>
      </x:c>
      <x:c r="X72" s="42" t="n">
        <x:v>950</x:v>
      </x:c>
      <x:c r="Y72" s="42" t="n">
        <x:v>1400</x:v>
      </x:c>
      <x:c r="Z72" s="42" t="n">
        <x:v>180</x:v>
      </x:c>
      <x:c r="AA72" s="42" t="n">
        <x:v>180</x:v>
      </x:c>
      <x:c r="AB72" s="42" t="n">
        <x:v>0.55</x:v>
      </x:c>
      <x:c r="AC72" s="42" t="n">
        <x:v>5</x:v>
      </x:c>
      <x:c r="AD72" s="42" t="n">
        <x:v>8000</x:v>
      </x:c>
      <x:c r="AE72" s="42" t="n">
        <x:v>0.76</x:v>
      </x:c>
      <x:c r="AF72" s="42" t="n">
        <x:v>0.76</x:v>
      </x:c>
      <x:c r="AG72" s="42" t="str">
        <x:v>N</x:v>
      </x:c>
      <x:c r="AH72" s="42" t="n">
        <x:v>0.95</x:v>
      </x:c>
      <x:c r="AI72" s="42" t="n">
        <x:v>500</x:v>
      </x:c>
      <x:c r="AJ72" s="43" t="n">
        <x:v>0</x:v>
      </x:c>
    </x:row>
    <x:row r="73" ht="22" customHeight="1">
      <x:c r="A73" s="4" t="str">
        <x:v>S02-P08</x:v>
      </x:c>
      <x:c r="B73" s="4" t="str">
        <x:v>S02</x:v>
      </x:c>
      <x:c r="C73" s="4" t="str">
        <x:v>불광점</x:v>
      </x:c>
      <x:c r="D73" s="4" t="str">
        <x:v>은평구</x:v>
      </x:c>
      <x:c r="E73" s="4" t="str">
        <x:v>P08</x:v>
      </x:c>
      <x:c r="F73" s="4" t="str">
        <x:v>오뚜기진라면컵</x:v>
      </x:c>
      <x:c r="G73" s="4" t="str">
        <x:v>라면</x:v>
      </x:c>
      <x:c r="H73" s="4" t="str">
        <x:v>라면</x:v>
      </x:c>
      <x:c r="I73" s="42" t="n">
        <x:v>44</x:v>
      </x:c>
      <x:c r="J73" s="42" t="n">
        <x:v>44</x:v>
      </x:c>
      <x:c r="K73" s="42" t="n">
        <x:v>44</x:v>
      </x:c>
      <x:c r="L73" s="42" t="n">
        <x:v>44</x:v>
      </x:c>
      <x:c r="M73" s="42" t="n">
        <x:v>39</x:v>
      </x:c>
      <x:c r="N73" s="42" t="n">
        <x:v>1.47</x:v>
      </x:c>
      <x:c r="O73" s="42" t="n">
        <x:v>10</x:v>
      </x:c>
      <x:c r="P73" s="42" t="n">
        <x:v>44</x:v>
      </x:c>
      <x:c r="Q73" s="42" t="n">
        <x:v>44</x:v>
      </x:c>
      <x:c r="R73" s="42" t="n">
        <x:v>0</x:v>
      </x:c>
      <x:c r="S73" s="42" t="n">
        <x:v>0</x:v>
      </x:c>
      <x:c r="T73" s="42" t="n">
        <x:v>33</x:v>
      </x:c>
      <x:c r="U73" s="42" t="n">
        <x:v>33</x:v>
      </x:c>
      <x:c r="V73" s="42" t="n">
        <x:v>25</x:v>
      </x:c>
      <x:c r="W73" s="42" t="n">
        <x:v>25</x:v>
      </x:c>
      <x:c r="X73" s="42" t="n">
        <x:v>950</x:v>
      </x:c>
      <x:c r="Y73" s="42" t="n">
        <x:v>1400</x:v>
      </x:c>
      <x:c r="Z73" s="42" t="n">
        <x:v>180</x:v>
      </x:c>
      <x:c r="AA73" s="42" t="n">
        <x:v>180</x:v>
      </x:c>
      <x:c r="AB73" s="42" t="n">
        <x:v>0.44</x:v>
      </x:c>
      <x:c r="AC73" s="42" t="n">
        <x:v>5</x:v>
      </x:c>
      <x:c r="AD73" s="42" t="n">
        <x:v>8000</x:v>
      </x:c>
      <x:c r="AE73" s="42" t="n">
        <x:v>0.76</x:v>
      </x:c>
      <x:c r="AF73" s="42" t="n">
        <x:v>0.76</x:v>
      </x:c>
      <x:c r="AG73" s="42" t="str">
        <x:v>N</x:v>
      </x:c>
      <x:c r="AH73" s="42" t="n">
        <x:v>0.95</x:v>
      </x:c>
      <x:c r="AI73" s="42" t="n">
        <x:v>500</x:v>
      </x:c>
      <x:c r="AJ73" s="43" t="n">
        <x:v>0</x:v>
      </x:c>
    </x:row>
    <x:row r="74" ht="22" customHeight="1">
      <x:c r="A74" s="4" t="str">
        <x:v>S03-P08</x:v>
      </x:c>
      <x:c r="B74" s="4" t="str">
        <x:v>S03</x:v>
      </x:c>
      <x:c r="C74" s="4" t="str">
        <x:v>응암점</x:v>
      </x:c>
      <x:c r="D74" s="4" t="str">
        <x:v>은평구</x:v>
      </x:c>
      <x:c r="E74" s="4" t="str">
        <x:v>P08</x:v>
      </x:c>
      <x:c r="F74" s="4" t="str">
        <x:v>오뚜기진라면컵</x:v>
      </x:c>
      <x:c r="G74" s="4" t="str">
        <x:v>라면</x:v>
      </x:c>
      <x:c r="H74" s="4" t="str">
        <x:v>라면</x:v>
      </x:c>
      <x:c r="I74" s="42" t="n">
        <x:v>46</x:v>
      </x:c>
      <x:c r="J74" s="42" t="n">
        <x:v>46</x:v>
      </x:c>
      <x:c r="K74" s="42" t="n">
        <x:v>46</x:v>
      </x:c>
      <x:c r="L74" s="42" t="n">
        <x:v>46</x:v>
      </x:c>
      <x:c r="M74" s="42" t="n">
        <x:v>41</x:v>
      </x:c>
      <x:c r="N74" s="42" t="n">
        <x:v>1.53</x:v>
      </x:c>
      <x:c r="O74" s="42" t="n">
        <x:v>10</x:v>
      </x:c>
      <x:c r="P74" s="42" t="n">
        <x:v>46</x:v>
      </x:c>
      <x:c r="Q74" s="42" t="n">
        <x:v>46</x:v>
      </x:c>
      <x:c r="R74" s="42" t="n">
        <x:v>0</x:v>
      </x:c>
      <x:c r="S74" s="42" t="n">
        <x:v>0</x:v>
      </x:c>
      <x:c r="T74" s="42" t="n">
        <x:v>33</x:v>
      </x:c>
      <x:c r="U74" s="42" t="n">
        <x:v>33</x:v>
      </x:c>
      <x:c r="V74" s="42" t="n">
        <x:v>25</x:v>
      </x:c>
      <x:c r="W74" s="42" t="n">
        <x:v>25</x:v>
      </x:c>
      <x:c r="X74" s="42" t="n">
        <x:v>950</x:v>
      </x:c>
      <x:c r="Y74" s="42" t="n">
        <x:v>1400</x:v>
      </x:c>
      <x:c r="Z74" s="42" t="n">
        <x:v>180</x:v>
      </x:c>
      <x:c r="AA74" s="42" t="n">
        <x:v>180</x:v>
      </x:c>
      <x:c r="AB74" s="42" t="n">
        <x:v>0.46</x:v>
      </x:c>
      <x:c r="AC74" s="42" t="n">
        <x:v>5</x:v>
      </x:c>
      <x:c r="AD74" s="42" t="n">
        <x:v>8000</x:v>
      </x:c>
      <x:c r="AE74" s="42" t="n">
        <x:v>0.76</x:v>
      </x:c>
      <x:c r="AF74" s="42" t="n">
        <x:v>0.76</x:v>
      </x:c>
      <x:c r="AG74" s="42" t="str">
        <x:v>N</x:v>
      </x:c>
      <x:c r="AH74" s="42" t="n">
        <x:v>0.95</x:v>
      </x:c>
      <x:c r="AI74" s="42" t="n">
        <x:v>500</x:v>
      </x:c>
      <x:c r="AJ74" s="43" t="n">
        <x:v>0</x:v>
      </x:c>
    </x:row>
    <x:row r="75" ht="22" customHeight="1">
      <x:c r="A75" s="4" t="str">
        <x:v>S04-P08</x:v>
      </x:c>
      <x:c r="B75" s="4" t="str">
        <x:v>S04</x:v>
      </x:c>
      <x:c r="C75" s="4" t="str">
        <x:v>홍제점</x:v>
      </x:c>
      <x:c r="D75" s="4" t="str">
        <x:v>서대문구</x:v>
      </x:c>
      <x:c r="E75" s="4" t="str">
        <x:v>P08</x:v>
      </x:c>
      <x:c r="F75" s="4" t="str">
        <x:v>오뚜기진라면컵</x:v>
      </x:c>
      <x:c r="G75" s="4" t="str">
        <x:v>라면</x:v>
      </x:c>
      <x:c r="H75" s="4" t="str">
        <x:v>라면</x:v>
      </x:c>
      <x:c r="I75" s="42" t="n">
        <x:v>48</x:v>
      </x:c>
      <x:c r="J75" s="42" t="n">
        <x:v>48</x:v>
      </x:c>
      <x:c r="K75" s="42" t="n">
        <x:v>48</x:v>
      </x:c>
      <x:c r="L75" s="42" t="n">
        <x:v>48</x:v>
      </x:c>
      <x:c r="M75" s="42" t="n">
        <x:v>42.5</x:v>
      </x:c>
      <x:c r="N75" s="42" t="n">
        <x:v>1.6</x:v>
      </x:c>
      <x:c r="O75" s="42" t="n">
        <x:v>11</x:v>
      </x:c>
      <x:c r="P75" s="42" t="n">
        <x:v>48</x:v>
      </x:c>
      <x:c r="Q75" s="42" t="n">
        <x:v>48</x:v>
      </x:c>
      <x:c r="R75" s="42" t="n">
        <x:v>0</x:v>
      </x:c>
      <x:c r="S75" s="42" t="n">
        <x:v>0</x:v>
      </x:c>
      <x:c r="T75" s="42" t="n">
        <x:v>33</x:v>
      </x:c>
      <x:c r="U75" s="42" t="n">
        <x:v>33</x:v>
      </x:c>
      <x:c r="V75" s="42" t="n">
        <x:v>25</x:v>
      </x:c>
      <x:c r="W75" s="42" t="n">
        <x:v>25</x:v>
      </x:c>
      <x:c r="X75" s="42" t="n">
        <x:v>950</x:v>
      </x:c>
      <x:c r="Y75" s="42" t="n">
        <x:v>1400</x:v>
      </x:c>
      <x:c r="Z75" s="42" t="n">
        <x:v>180</x:v>
      </x:c>
      <x:c r="AA75" s="42" t="n">
        <x:v>180</x:v>
      </x:c>
      <x:c r="AB75" s="42" t="n">
        <x:v>0.48</x:v>
      </x:c>
      <x:c r="AC75" s="42" t="n">
        <x:v>5</x:v>
      </x:c>
      <x:c r="AD75" s="42" t="n">
        <x:v>8000</x:v>
      </x:c>
      <x:c r="AE75" s="42" t="n">
        <x:v>0.76</x:v>
      </x:c>
      <x:c r="AF75" s="42" t="n">
        <x:v>0.76</x:v>
      </x:c>
      <x:c r="AG75" s="42" t="str">
        <x:v>N</x:v>
      </x:c>
      <x:c r="AH75" s="42" t="n">
        <x:v>0.95</x:v>
      </x:c>
      <x:c r="AI75" s="42" t="n">
        <x:v>500</x:v>
      </x:c>
      <x:c r="AJ75" s="43" t="n">
        <x:v>0</x:v>
      </x:c>
    </x:row>
    <x:row r="76" ht="22" customHeight="1">
      <x:c r="A76" s="4" t="str">
        <x:v>S05-P08</x:v>
      </x:c>
      <x:c r="B76" s="4" t="str">
        <x:v>S05</x:v>
      </x:c>
      <x:c r="C76" s="4" t="str">
        <x:v>신촌점</x:v>
      </x:c>
      <x:c r="D76" s="4" t="str">
        <x:v>서대문구</x:v>
      </x:c>
      <x:c r="E76" s="4" t="str">
        <x:v>P08</x:v>
      </x:c>
      <x:c r="F76" s="4" t="str">
        <x:v>오뚜기진라면컵</x:v>
      </x:c>
      <x:c r="G76" s="4" t="str">
        <x:v>라면</x:v>
      </x:c>
      <x:c r="H76" s="4" t="str">
        <x:v>라면</x:v>
      </x:c>
      <x:c r="I76" s="42" t="n">
        <x:v>40</x:v>
      </x:c>
      <x:c r="J76" s="42" t="n">
        <x:v>40</x:v>
      </x:c>
      <x:c r="K76" s="42" t="n">
        <x:v>40</x:v>
      </x:c>
      <x:c r="L76" s="42" t="n">
        <x:v>40</x:v>
      </x:c>
      <x:c r="M76" s="42" t="n">
        <x:v>35.5</x:v>
      </x:c>
      <x:c r="N76" s="42" t="n">
        <x:v>1.33</x:v>
      </x:c>
      <x:c r="O76" s="42" t="n">
        <x:v>9</x:v>
      </x:c>
      <x:c r="P76" s="42" t="n">
        <x:v>40</x:v>
      </x:c>
      <x:c r="Q76" s="42" t="n">
        <x:v>40</x:v>
      </x:c>
      <x:c r="R76" s="42" t="n">
        <x:v>0</x:v>
      </x:c>
      <x:c r="S76" s="42" t="n">
        <x:v>0</x:v>
      </x:c>
      <x:c r="T76" s="42" t="n">
        <x:v>33</x:v>
      </x:c>
      <x:c r="U76" s="42" t="n">
        <x:v>33</x:v>
      </x:c>
      <x:c r="V76" s="42" t="n">
        <x:v>25</x:v>
      </x:c>
      <x:c r="W76" s="42" t="n">
        <x:v>25</x:v>
      </x:c>
      <x:c r="X76" s="42" t="n">
        <x:v>950</x:v>
      </x:c>
      <x:c r="Y76" s="42" t="n">
        <x:v>1400</x:v>
      </x:c>
      <x:c r="Z76" s="42" t="n">
        <x:v>180</x:v>
      </x:c>
      <x:c r="AA76" s="42" t="n">
        <x:v>180</x:v>
      </x:c>
      <x:c r="AB76" s="42" t="n">
        <x:v>0.4</x:v>
      </x:c>
      <x:c r="AC76" s="42" t="n">
        <x:v>5</x:v>
      </x:c>
      <x:c r="AD76" s="42" t="n">
        <x:v>8000</x:v>
      </x:c>
      <x:c r="AE76" s="42" t="n">
        <x:v>0.76</x:v>
      </x:c>
      <x:c r="AF76" s="42" t="n">
        <x:v>0.76</x:v>
      </x:c>
      <x:c r="AG76" s="42" t="str">
        <x:v>N</x:v>
      </x:c>
      <x:c r="AH76" s="42" t="n">
        <x:v>0.95</x:v>
      </x:c>
      <x:c r="AI76" s="42" t="n">
        <x:v>500</x:v>
      </x:c>
      <x:c r="AJ76" s="43" t="n">
        <x:v>0</x:v>
      </x:c>
    </x:row>
    <x:row r="77" ht="22" customHeight="1">
      <x:c r="A77" s="4" t="str">
        <x:v>S06-P08</x:v>
      </x:c>
      <x:c r="B77" s="4" t="str">
        <x:v>S06</x:v>
      </x:c>
      <x:c r="C77" s="4" t="str">
        <x:v>마포점</x:v>
      </x:c>
      <x:c r="D77" s="4" t="str">
        <x:v>마포구</x:v>
      </x:c>
      <x:c r="E77" s="4" t="str">
        <x:v>P08</x:v>
      </x:c>
      <x:c r="F77" s="4" t="str">
        <x:v>오뚜기진라면컵</x:v>
      </x:c>
      <x:c r="G77" s="4" t="str">
        <x:v>라면</x:v>
      </x:c>
      <x:c r="H77" s="4" t="str">
        <x:v>라면</x:v>
      </x:c>
      <x:c r="I77" s="42" t="n">
        <x:v>80</x:v>
      </x:c>
      <x:c r="J77" s="42" t="n">
        <x:v>80</x:v>
      </x:c>
      <x:c r="K77" s="42" t="n">
        <x:v>80</x:v>
      </x:c>
      <x:c r="L77" s="42" t="n">
        <x:v>80</x:v>
      </x:c>
      <x:c r="M77" s="42" t="n">
        <x:v>79</x:v>
      </x:c>
      <x:c r="N77" s="42" t="n">
        <x:v>0.33</x:v>
      </x:c>
      <x:c r="O77" s="42" t="n">
        <x:v>2</x:v>
      </x:c>
      <x:c r="P77" s="42" t="n">
        <x:v>10</x:v>
      </x:c>
      <x:c r="Q77" s="42" t="n">
        <x:v>10</x:v>
      </x:c>
      <x:c r="R77" s="42" t="n">
        <x:v>70</x:v>
      </x:c>
      <x:c r="S77" s="42" t="n">
        <x:v>0</x:v>
      </x:c>
      <x:c r="T77" s="42" t="n">
        <x:v>25</x:v>
      </x:c>
      <x:c r="U77" s="42" t="n">
        <x:v>25</x:v>
      </x:c>
      <x:c r="V77" s="42" t="n">
        <x:v>70</x:v>
      </x:c>
      <x:c r="W77" s="42" t="n">
        <x:v>70</x:v>
      </x:c>
      <x:c r="X77" s="42" t="n">
        <x:v>950</x:v>
      </x:c>
      <x:c r="Y77" s="42" t="n">
        <x:v>1400</x:v>
      </x:c>
      <x:c r="Z77" s="42" t="n">
        <x:v>180</x:v>
      </x:c>
      <x:c r="AA77" s="42" t="n">
        <x:v>180</x:v>
      </x:c>
      <x:c r="AB77" s="42" t="n">
        <x:v>0.2</x:v>
      </x:c>
      <x:c r="AC77" s="42" t="n">
        <x:v>5</x:v>
      </x:c>
      <x:c r="AD77" s="42" t="n">
        <x:v>8000</x:v>
      </x:c>
      <x:c r="AE77" s="42" t="n">
        <x:v>0.76</x:v>
      </x:c>
      <x:c r="AF77" s="42" t="n">
        <x:v>0.76</x:v>
      </x:c>
      <x:c r="AG77" s="42" t="str">
        <x:v>N</x:v>
      </x:c>
      <x:c r="AH77" s="42" t="n">
        <x:v>0.95</x:v>
      </x:c>
      <x:c r="AI77" s="42" t="n">
        <x:v>500</x:v>
      </x:c>
      <x:c r="AJ77" s="43" t="n">
        <x:v>17.5</x:v>
      </x:c>
    </x:row>
    <x:row r="78" ht="22" customHeight="1">
      <x:c r="A78" s="4" t="str">
        <x:v>S07-P08</x:v>
      </x:c>
      <x:c r="B78" s="4" t="str">
        <x:v>S07</x:v>
      </x:c>
      <x:c r="C78" s="4" t="str">
        <x:v>종로점</x:v>
      </x:c>
      <x:c r="D78" s="4" t="str">
        <x:v>종로구</x:v>
      </x:c>
      <x:c r="E78" s="4" t="str">
        <x:v>P08</x:v>
      </x:c>
      <x:c r="F78" s="4" t="str">
        <x:v>오뚜기진라면컵</x:v>
      </x:c>
      <x:c r="G78" s="4" t="str">
        <x:v>라면</x:v>
      </x:c>
      <x:c r="H78" s="4" t="str">
        <x:v>라면</x:v>
      </x:c>
      <x:c r="I78" s="42" t="n">
        <x:v>44</x:v>
      </x:c>
      <x:c r="J78" s="42" t="n">
        <x:v>44</x:v>
      </x:c>
      <x:c r="K78" s="42" t="n">
        <x:v>44</x:v>
      </x:c>
      <x:c r="L78" s="42" t="n">
        <x:v>44</x:v>
      </x:c>
      <x:c r="M78" s="42" t="n">
        <x:v>39</x:v>
      </x:c>
      <x:c r="N78" s="42" t="n">
        <x:v>1.47</x:v>
      </x:c>
      <x:c r="O78" s="42" t="n">
        <x:v>10</x:v>
      </x:c>
      <x:c r="P78" s="42" t="n">
        <x:v>44</x:v>
      </x:c>
      <x:c r="Q78" s="42" t="n">
        <x:v>44</x:v>
      </x:c>
      <x:c r="R78" s="42" t="n">
        <x:v>0</x:v>
      </x:c>
      <x:c r="S78" s="42" t="n">
        <x:v>0</x:v>
      </x:c>
      <x:c r="T78" s="42" t="n">
        <x:v>33</x:v>
      </x:c>
      <x:c r="U78" s="42" t="n">
        <x:v>33</x:v>
      </x:c>
      <x:c r="V78" s="42" t="n">
        <x:v>25</x:v>
      </x:c>
      <x:c r="W78" s="42" t="n">
        <x:v>25</x:v>
      </x:c>
      <x:c r="X78" s="42" t="n">
        <x:v>950</x:v>
      </x:c>
      <x:c r="Y78" s="42" t="n">
        <x:v>1400</x:v>
      </x:c>
      <x:c r="Z78" s="42" t="n">
        <x:v>180</x:v>
      </x:c>
      <x:c r="AA78" s="42" t="n">
        <x:v>180</x:v>
      </x:c>
      <x:c r="AB78" s="42" t="n">
        <x:v>0.44</x:v>
      </x:c>
      <x:c r="AC78" s="42" t="n">
        <x:v>5</x:v>
      </x:c>
      <x:c r="AD78" s="42" t="n">
        <x:v>8000</x:v>
      </x:c>
      <x:c r="AE78" s="42" t="n">
        <x:v>0.76</x:v>
      </x:c>
      <x:c r="AF78" s="42" t="n">
        <x:v>0.76</x:v>
      </x:c>
      <x:c r="AG78" s="42" t="str">
        <x:v>N</x:v>
      </x:c>
      <x:c r="AH78" s="42" t="n">
        <x:v>0.95</x:v>
      </x:c>
      <x:c r="AI78" s="42" t="n">
        <x:v>500</x:v>
      </x:c>
      <x:c r="AJ78" s="43" t="n">
        <x:v>0</x:v>
      </x:c>
    </x:row>
    <x:row r="79" ht="22" customHeight="1">
      <x:c r="A79" s="4" t="str">
        <x:v>S08-P08</x:v>
      </x:c>
      <x:c r="B79" s="4" t="str">
        <x:v>S08</x:v>
      </x:c>
      <x:c r="C79" s="4" t="str">
        <x:v>용산점</x:v>
      </x:c>
      <x:c r="D79" s="4" t="str">
        <x:v>용산구</x:v>
      </x:c>
      <x:c r="E79" s="4" t="str">
        <x:v>P08</x:v>
      </x:c>
      <x:c r="F79" s="4" t="str">
        <x:v>오뚜기진라면컵</x:v>
      </x:c>
      <x:c r="G79" s="4" t="str">
        <x:v>라면</x:v>
      </x:c>
      <x:c r="H79" s="4" t="str">
        <x:v>라면</x:v>
      </x:c>
      <x:c r="I79" s="42" t="n">
        <x:v>46</x:v>
      </x:c>
      <x:c r="J79" s="42" t="n">
        <x:v>46</x:v>
      </x:c>
      <x:c r="K79" s="42" t="n">
        <x:v>46</x:v>
      </x:c>
      <x:c r="L79" s="42" t="n">
        <x:v>46</x:v>
      </x:c>
      <x:c r="M79" s="42" t="n">
        <x:v>41</x:v>
      </x:c>
      <x:c r="N79" s="42" t="n">
        <x:v>1.53</x:v>
      </x:c>
      <x:c r="O79" s="42" t="n">
        <x:v>10</x:v>
      </x:c>
      <x:c r="P79" s="42" t="n">
        <x:v>46</x:v>
      </x:c>
      <x:c r="Q79" s="42" t="n">
        <x:v>46</x:v>
      </x:c>
      <x:c r="R79" s="42" t="n">
        <x:v>0</x:v>
      </x:c>
      <x:c r="S79" s="42" t="n">
        <x:v>0</x:v>
      </x:c>
      <x:c r="T79" s="42" t="n">
        <x:v>33</x:v>
      </x:c>
      <x:c r="U79" s="42" t="n">
        <x:v>33</x:v>
      </x:c>
      <x:c r="V79" s="42" t="n">
        <x:v>25</x:v>
      </x:c>
      <x:c r="W79" s="42" t="n">
        <x:v>25</x:v>
      </x:c>
      <x:c r="X79" s="42" t="n">
        <x:v>950</x:v>
      </x:c>
      <x:c r="Y79" s="42" t="n">
        <x:v>1400</x:v>
      </x:c>
      <x:c r="Z79" s="42" t="n">
        <x:v>180</x:v>
      </x:c>
      <x:c r="AA79" s="42" t="n">
        <x:v>180</x:v>
      </x:c>
      <x:c r="AB79" s="42" t="n">
        <x:v>0.46</x:v>
      </x:c>
      <x:c r="AC79" s="42" t="n">
        <x:v>5</x:v>
      </x:c>
      <x:c r="AD79" s="42" t="n">
        <x:v>8000</x:v>
      </x:c>
      <x:c r="AE79" s="42" t="n">
        <x:v>0.76</x:v>
      </x:c>
      <x:c r="AF79" s="42" t="n">
        <x:v>0.76</x:v>
      </x:c>
      <x:c r="AG79" s="42" t="str">
        <x:v>N</x:v>
      </x:c>
      <x:c r="AH79" s="42" t="n">
        <x:v>0.95</x:v>
      </x:c>
      <x:c r="AI79" s="42" t="n">
        <x:v>500</x:v>
      </x:c>
      <x:c r="AJ79" s="43" t="n">
        <x:v>0</x:v>
      </x:c>
    </x:row>
    <x:row r="80" ht="22" customHeight="1">
      <x:c r="A80" s="4" t="str">
        <x:v>S09-P08</x:v>
      </x:c>
      <x:c r="B80" s="4" t="str">
        <x:v>S09</x:v>
      </x:c>
      <x:c r="C80" s="4" t="str">
        <x:v>상암점</x:v>
      </x:c>
      <x:c r="D80" s="4" t="str">
        <x:v>마포구</x:v>
      </x:c>
      <x:c r="E80" s="4" t="str">
        <x:v>P08</x:v>
      </x:c>
      <x:c r="F80" s="4" t="str">
        <x:v>오뚜기진라면컵</x:v>
      </x:c>
      <x:c r="G80" s="4" t="str">
        <x:v>라면</x:v>
      </x:c>
      <x:c r="H80" s="4" t="str">
        <x:v>라면</x:v>
      </x:c>
      <x:c r="I80" s="42" t="n">
        <x:v>48</x:v>
      </x:c>
      <x:c r="J80" s="42" t="n">
        <x:v>48</x:v>
      </x:c>
      <x:c r="K80" s="42" t="n">
        <x:v>48</x:v>
      </x:c>
      <x:c r="L80" s="42" t="n">
        <x:v>48</x:v>
      </x:c>
      <x:c r="M80" s="42" t="n">
        <x:v>42.5</x:v>
      </x:c>
      <x:c r="N80" s="42" t="n">
        <x:v>1.6</x:v>
      </x:c>
      <x:c r="O80" s="42" t="n">
        <x:v>11</x:v>
      </x:c>
      <x:c r="P80" s="42" t="n">
        <x:v>48</x:v>
      </x:c>
      <x:c r="Q80" s="42" t="n">
        <x:v>48</x:v>
      </x:c>
      <x:c r="R80" s="42" t="n">
        <x:v>0</x:v>
      </x:c>
      <x:c r="S80" s="42" t="n">
        <x:v>0</x:v>
      </x:c>
      <x:c r="T80" s="42" t="n">
        <x:v>33</x:v>
      </x:c>
      <x:c r="U80" s="42" t="n">
        <x:v>33</x:v>
      </x:c>
      <x:c r="V80" s="42" t="n">
        <x:v>25</x:v>
      </x:c>
      <x:c r="W80" s="42" t="n">
        <x:v>25</x:v>
      </x:c>
      <x:c r="X80" s="42" t="n">
        <x:v>950</x:v>
      </x:c>
      <x:c r="Y80" s="42" t="n">
        <x:v>1400</x:v>
      </x:c>
      <x:c r="Z80" s="42" t="n">
        <x:v>180</x:v>
      </x:c>
      <x:c r="AA80" s="42" t="n">
        <x:v>180</x:v>
      </x:c>
      <x:c r="AB80" s="42" t="n">
        <x:v>0.48</x:v>
      </x:c>
      <x:c r="AC80" s="42" t="n">
        <x:v>5</x:v>
      </x:c>
      <x:c r="AD80" s="42" t="n">
        <x:v>8000</x:v>
      </x:c>
      <x:c r="AE80" s="42" t="n">
        <x:v>0.76</x:v>
      </x:c>
      <x:c r="AF80" s="42" t="n">
        <x:v>0.76</x:v>
      </x:c>
      <x:c r="AG80" s="42" t="str">
        <x:v>N</x:v>
      </x:c>
      <x:c r="AH80" s="42" t="n">
        <x:v>0.95</x:v>
      </x:c>
      <x:c r="AI80" s="42" t="n">
        <x:v>500</x:v>
      </x:c>
      <x:c r="AJ80" s="43" t="n">
        <x:v>0</x:v>
      </x:c>
    </x:row>
    <x:row r="81" ht="22" customHeight="1">
      <x:c r="A81" s="15" t="str">
        <x:v>S10-P08</x:v>
      </x:c>
      <x:c r="B81" s="15" t="str">
        <x:v>S10</x:v>
      </x:c>
      <x:c r="C81" s="15" t="str">
        <x:v>구파발점</x:v>
      </x:c>
      <x:c r="D81" s="15" t="str">
        <x:v>은평구</x:v>
      </x:c>
      <x:c r="E81" s="15" t="str">
        <x:v>P08</x:v>
      </x:c>
      <x:c r="F81" s="15" t="str">
        <x:v>오뚜기진라면컵</x:v>
      </x:c>
      <x:c r="G81" s="15" t="str">
        <x:v>라면</x:v>
      </x:c>
      <x:c r="H81" s="15" t="str">
        <x:v>라면</x:v>
      </x:c>
      <x:c r="I81" s="44" t="n">
        <x:v>40</x:v>
      </x:c>
      <x:c r="J81" s="44" t="n">
        <x:v>40</x:v>
      </x:c>
      <x:c r="K81" s="44" t="n">
        <x:v>40</x:v>
      </x:c>
      <x:c r="L81" s="44" t="n">
        <x:v>40</x:v>
      </x:c>
      <x:c r="M81" s="44" t="n">
        <x:v>35.5</x:v>
      </x:c>
      <x:c r="N81" s="44" t="n">
        <x:v>1.33</x:v>
      </x:c>
      <x:c r="O81" s="44" t="n">
        <x:v>9</x:v>
      </x:c>
      <x:c r="P81" s="44" t="n">
        <x:v>40</x:v>
      </x:c>
      <x:c r="Q81" s="44" t="n">
        <x:v>40</x:v>
      </x:c>
      <x:c r="R81" s="44" t="n">
        <x:v>0</x:v>
      </x:c>
      <x:c r="S81" s="44" t="n">
        <x:v>0</x:v>
      </x:c>
      <x:c r="T81" s="44" t="n">
        <x:v>33</x:v>
      </x:c>
      <x:c r="U81" s="44" t="n">
        <x:v>33</x:v>
      </x:c>
      <x:c r="V81" s="44" t="n">
        <x:v>25</x:v>
      </x:c>
      <x:c r="W81" s="44" t="n">
        <x:v>25</x:v>
      </x:c>
      <x:c r="X81" s="44" t="n">
        <x:v>950</x:v>
      </x:c>
      <x:c r="Y81" s="44" t="n">
        <x:v>1400</x:v>
      </x:c>
      <x:c r="Z81" s="44" t="n">
        <x:v>180</x:v>
      </x:c>
      <x:c r="AA81" s="44" t="n">
        <x:v>180</x:v>
      </x:c>
      <x:c r="AB81" s="44" t="n">
        <x:v>0.4</x:v>
      </x:c>
      <x:c r="AC81" s="44" t="n">
        <x:v>5</x:v>
      </x:c>
      <x:c r="AD81" s="44" t="n">
        <x:v>8000</x:v>
      </x:c>
      <x:c r="AE81" s="44" t="n">
        <x:v>0.76</x:v>
      </x:c>
      <x:c r="AF81" s="44" t="n">
        <x:v>0.76</x:v>
      </x:c>
      <x:c r="AG81" s="44" t="str">
        <x:v>N</x:v>
      </x:c>
      <x:c r="AH81" s="44" t="n">
        <x:v>0.95</x:v>
      </x:c>
      <x:c r="AI81" s="44" t="n">
        <x:v>500</x:v>
      </x:c>
      <x:c r="AJ81" s="45" t="n">
        <x:v>0</x:v>
      </x:c>
    </x:row>
    <x:row r="82"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  <x:c r="AA82" s="46"/>
      <x:c r="AB82" s="46"/>
      <x:c r="AC82" s="46"/>
      <x:c r="AD82" s="46"/>
      <x:c r="AE82" s="46"/>
      <x:c r="AF82" s="46"/>
      <x:c r="AG82" s="46"/>
      <x:c r="AH82" s="46"/>
      <x:c r="AI82" s="46"/>
      <x:c r="AJ82" s="46"/>
    </x:row>
    <x:row r="83"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  <x:c r="AA83" s="46"/>
      <x:c r="AB83" s="46"/>
      <x:c r="AC83" s="46"/>
      <x:c r="AD83" s="46"/>
      <x:c r="AE83" s="46"/>
      <x:c r="AF83" s="46"/>
      <x:c r="AG83" s="46"/>
      <x:c r="AH83" s="46"/>
      <x:c r="AI83" s="46"/>
      <x:c r="AJ83" s="46"/>
    </x:row>
    <x:row r="84"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  <x:c r="AA84" s="46"/>
      <x:c r="AB84" s="46"/>
      <x:c r="AC84" s="46"/>
      <x:c r="AD84" s="46"/>
      <x:c r="AE84" s="46"/>
      <x:c r="AF84" s="46"/>
      <x:c r="AG84" s="46"/>
      <x:c r="AH84" s="46"/>
      <x:c r="AI84" s="46"/>
      <x:c r="AJ84" s="46"/>
    </x:row>
    <x:row r="85"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  <x:c r="AA85" s="46"/>
      <x:c r="AB85" s="46"/>
      <x:c r="AC85" s="46"/>
      <x:c r="AD85" s="46"/>
      <x:c r="AE85" s="46"/>
      <x:c r="AF85" s="46"/>
      <x:c r="AG85" s="46"/>
      <x:c r="AH85" s="46"/>
      <x:c r="AI85" s="46"/>
      <x:c r="AJ85" s="46"/>
    </x:row>
    <x:row r="86"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  <x:c r="AA86" s="46"/>
      <x:c r="AB86" s="46"/>
      <x:c r="AC86" s="46"/>
      <x:c r="AD86" s="46"/>
      <x:c r="AE86" s="46"/>
      <x:c r="AF86" s="46"/>
      <x:c r="AG86" s="46"/>
      <x:c r="AH86" s="46"/>
      <x:c r="AI86" s="46"/>
      <x:c r="AJ86" s="46"/>
    </x:row>
    <x:row r="87"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  <x:c r="AA87" s="46"/>
      <x:c r="AB87" s="46"/>
      <x:c r="AC87" s="46"/>
      <x:c r="AD87" s="46"/>
      <x:c r="AE87" s="46"/>
      <x:c r="AF87" s="46"/>
      <x:c r="AG87" s="46"/>
      <x:c r="AH87" s="46"/>
      <x:c r="AI87" s="46"/>
      <x:c r="AJ87" s="46"/>
    </x:row>
    <x:row r="88"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  <x:c r="AA88" s="46"/>
      <x:c r="AB88" s="46"/>
      <x:c r="AC88" s="46"/>
      <x:c r="AD88" s="46"/>
      <x:c r="AE88" s="46"/>
      <x:c r="AF88" s="46"/>
      <x:c r="AG88" s="46"/>
      <x:c r="AH88" s="46"/>
      <x:c r="AI88" s="46"/>
      <x:c r="AJ88" s="46"/>
    </x:row>
    <x:row r="89"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  <x:c r="AA89" s="46"/>
      <x:c r="AB89" s="46"/>
      <x:c r="AC89" s="46"/>
      <x:c r="AD89" s="46"/>
      <x:c r="AE89" s="46"/>
      <x:c r="AF89" s="46"/>
      <x:c r="AG89" s="46"/>
      <x:c r="AH89" s="46"/>
      <x:c r="AI89" s="46"/>
      <x:c r="AJ89" s="46"/>
    </x:row>
    <x:row r="90"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  <x:c r="AA90" s="46"/>
      <x:c r="AB90" s="46"/>
      <x:c r="AC90" s="46"/>
      <x:c r="AD90" s="46"/>
      <x:c r="AE90" s="46"/>
      <x:c r="AF90" s="46"/>
      <x:c r="AG90" s="46"/>
      <x:c r="AH90" s="46"/>
      <x:c r="AI90" s="46"/>
      <x:c r="AJ90" s="46"/>
    </x:row>
    <x:row r="91"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  <x:c r="AA91" s="46"/>
      <x:c r="AB91" s="46"/>
      <x:c r="AC91" s="46"/>
      <x:c r="AD91" s="46"/>
      <x:c r="AE91" s="46"/>
      <x:c r="AF91" s="46"/>
      <x:c r="AG91" s="46"/>
      <x:c r="AH91" s="46"/>
      <x:c r="AI91" s="46"/>
      <x:c r="AJ91" s="46"/>
    </x:row>
    <x:row r="92"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  <x:c r="AA92" s="46"/>
      <x:c r="AB92" s="46"/>
      <x:c r="AC92" s="46"/>
      <x:c r="AD92" s="46"/>
      <x:c r="AE92" s="46"/>
      <x:c r="AF92" s="46"/>
      <x:c r="AG92" s="46"/>
      <x:c r="AH92" s="46"/>
      <x:c r="AI92" s="46"/>
      <x:c r="AJ92" s="46"/>
    </x:row>
    <x:row r="93"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  <x:c r="AA93" s="46"/>
      <x:c r="AB93" s="46"/>
      <x:c r="AC93" s="46"/>
      <x:c r="AD93" s="46"/>
      <x:c r="AE93" s="46"/>
      <x:c r="AF93" s="46"/>
      <x:c r="AG93" s="46"/>
      <x:c r="AH93" s="46"/>
      <x:c r="AI93" s="46"/>
      <x:c r="AJ93" s="46"/>
    </x:row>
    <x:row r="94"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  <x:c r="AA94" s="46"/>
      <x:c r="AB94" s="46"/>
      <x:c r="AC94" s="46"/>
      <x:c r="AD94" s="46"/>
      <x:c r="AE94" s="46"/>
      <x:c r="AF94" s="46"/>
      <x:c r="AG94" s="46"/>
      <x:c r="AH94" s="46"/>
      <x:c r="AI94" s="46"/>
      <x:c r="AJ94" s="46"/>
    </x:row>
    <x:row r="95"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  <x:c r="AA95" s="46"/>
      <x:c r="AB95" s="46"/>
      <x:c r="AC95" s="46"/>
      <x:c r="AD95" s="46"/>
      <x:c r="AE95" s="46"/>
      <x:c r="AF95" s="46"/>
      <x:c r="AG95" s="46"/>
      <x:c r="AH95" s="46"/>
      <x:c r="AI95" s="46"/>
      <x:c r="AJ95" s="46"/>
    </x:row>
    <x:row r="96"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  <x:c r="AA96" s="46"/>
      <x:c r="AB96" s="46"/>
      <x:c r="AC96" s="46"/>
      <x:c r="AD96" s="46"/>
      <x:c r="AE96" s="46"/>
      <x:c r="AF96" s="46"/>
      <x:c r="AG96" s="46"/>
      <x:c r="AH96" s="46"/>
      <x:c r="AI96" s="46"/>
      <x:c r="AJ96" s="46"/>
    </x:row>
    <x:row r="97"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  <x:c r="AA97" s="46"/>
      <x:c r="AB97" s="46"/>
      <x:c r="AC97" s="46"/>
      <x:c r="AD97" s="46"/>
      <x:c r="AE97" s="46"/>
      <x:c r="AF97" s="46"/>
      <x:c r="AG97" s="46"/>
      <x:c r="AH97" s="46"/>
      <x:c r="AI97" s="46"/>
      <x:c r="AJ97" s="46"/>
    </x:row>
    <x:row r="98"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  <x:c r="AA98" s="46"/>
      <x:c r="AB98" s="46"/>
      <x:c r="AC98" s="46"/>
      <x:c r="AD98" s="46"/>
      <x:c r="AE98" s="46"/>
      <x:c r="AF98" s="46"/>
      <x:c r="AG98" s="46"/>
      <x:c r="AH98" s="46"/>
      <x:c r="AI98" s="46"/>
      <x:c r="AJ98" s="46"/>
    </x:row>
    <x:row r="99"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  <x:c r="AA99" s="46"/>
      <x:c r="AB99" s="46"/>
      <x:c r="AC99" s="46"/>
      <x:c r="AD99" s="46"/>
      <x:c r="AE99" s="46"/>
      <x:c r="AF99" s="46"/>
      <x:c r="AG99" s="46"/>
      <x:c r="AH99" s="46"/>
      <x:c r="AI99" s="46"/>
      <x:c r="AJ99" s="46"/>
    </x:row>
    <x:row r="100"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  <x:c r="AA100" s="46"/>
      <x:c r="AB100" s="46"/>
      <x:c r="AC100" s="46"/>
      <x:c r="AD100" s="46"/>
      <x:c r="AE100" s="46"/>
      <x:c r="AF100" s="46"/>
      <x:c r="AG100" s="46"/>
      <x:c r="AH100" s="46"/>
      <x:c r="AI100" s="46"/>
      <x:c r="AJ100" s="46"/>
    </x:row>
    <x:row r="101"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  <x:c r="AA101" s="46"/>
      <x:c r="AB101" s="46"/>
      <x:c r="AC101" s="46"/>
      <x:c r="AD101" s="46"/>
      <x:c r="AE101" s="46"/>
      <x:c r="AF101" s="46"/>
      <x:c r="AG101" s="46"/>
      <x:c r="AH101" s="46"/>
      <x:c r="AI101" s="46"/>
      <x:c r="AJ101" s="46"/>
    </x:row>
    <x:row r="102"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  <x:c r="AA102" s="46"/>
      <x:c r="AB102" s="46"/>
      <x:c r="AC102" s="46"/>
      <x:c r="AD102" s="46"/>
      <x:c r="AE102" s="46"/>
      <x:c r="AF102" s="46"/>
      <x:c r="AG102" s="46"/>
      <x:c r="AH102" s="46"/>
      <x:c r="AI102" s="46"/>
      <x:c r="AJ102" s="46"/>
    </x:row>
    <x:row r="103"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  <x:c r="AA103" s="46"/>
      <x:c r="AB103" s="46"/>
      <x:c r="AC103" s="46"/>
      <x:c r="AD103" s="46"/>
      <x:c r="AE103" s="46"/>
      <x:c r="AF103" s="46"/>
      <x:c r="AG103" s="46"/>
      <x:c r="AH103" s="46"/>
      <x:c r="AI103" s="46"/>
      <x:c r="AJ103" s="46"/>
    </x:row>
    <x:row r="104"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  <x:c r="AA104" s="46"/>
      <x:c r="AB104" s="46"/>
      <x:c r="AC104" s="46"/>
      <x:c r="AD104" s="46"/>
      <x:c r="AE104" s="46"/>
      <x:c r="AF104" s="46"/>
      <x:c r="AG104" s="46"/>
      <x:c r="AH104" s="46"/>
      <x:c r="AI104" s="46"/>
      <x:c r="AJ104" s="46"/>
    </x:row>
    <x:row r="105"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  <x:c r="AA105" s="46"/>
      <x:c r="AB105" s="46"/>
      <x:c r="AC105" s="46"/>
      <x:c r="AD105" s="46"/>
      <x:c r="AE105" s="46"/>
      <x:c r="AF105" s="46"/>
      <x:c r="AG105" s="46"/>
      <x:c r="AH105" s="46"/>
      <x:c r="AI105" s="46"/>
      <x:c r="AJ105" s="46"/>
    </x:row>
    <x:row r="106"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  <x:c r="AA106" s="46"/>
      <x:c r="AB106" s="46"/>
      <x:c r="AC106" s="46"/>
      <x:c r="AD106" s="46"/>
      <x:c r="AE106" s="46"/>
      <x:c r="AF106" s="46"/>
      <x:c r="AG106" s="46"/>
      <x:c r="AH106" s="46"/>
      <x:c r="AI106" s="46"/>
      <x:c r="AJ106" s="46"/>
    </x:row>
    <x:row r="107"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  <x:c r="AA107" s="46"/>
      <x:c r="AB107" s="46"/>
      <x:c r="AC107" s="46"/>
      <x:c r="AD107" s="46"/>
      <x:c r="AE107" s="46"/>
      <x:c r="AF107" s="46"/>
      <x:c r="AG107" s="46"/>
      <x:c r="AH107" s="46"/>
      <x:c r="AI107" s="46"/>
      <x:c r="AJ107" s="46"/>
    </x:row>
    <x:row r="108"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  <x:c r="AA108" s="46"/>
      <x:c r="AB108" s="46"/>
      <x:c r="AC108" s="46"/>
      <x:c r="AD108" s="46"/>
      <x:c r="AE108" s="46"/>
      <x:c r="AF108" s="46"/>
      <x:c r="AG108" s="46"/>
      <x:c r="AH108" s="46"/>
      <x:c r="AI108" s="46"/>
      <x:c r="AJ108" s="46"/>
    </x:row>
    <x:row r="109"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  <x:c r="AA109" s="46"/>
      <x:c r="AB109" s="46"/>
      <x:c r="AC109" s="46"/>
      <x:c r="AD109" s="46"/>
      <x:c r="AE109" s="46"/>
      <x:c r="AF109" s="46"/>
      <x:c r="AG109" s="46"/>
      <x:c r="AH109" s="46"/>
      <x:c r="AI109" s="46"/>
      <x:c r="AJ109" s="46"/>
    </x:row>
    <x:row r="110"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  <x:c r="AA110" s="46"/>
      <x:c r="AB110" s="46"/>
      <x:c r="AC110" s="46"/>
      <x:c r="AD110" s="46"/>
      <x:c r="AE110" s="46"/>
      <x:c r="AF110" s="46"/>
      <x:c r="AG110" s="46"/>
      <x:c r="AH110" s="46"/>
      <x:c r="AI110" s="46"/>
      <x:c r="AJ110" s="46"/>
    </x:row>
    <x:row r="111"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  <x:c r="AA111" s="46"/>
      <x:c r="AB111" s="46"/>
      <x:c r="AC111" s="46"/>
      <x:c r="AD111" s="46"/>
      <x:c r="AE111" s="46"/>
      <x:c r="AF111" s="46"/>
      <x:c r="AG111" s="46"/>
      <x:c r="AH111" s="46"/>
      <x:c r="AI111" s="46"/>
      <x:c r="AJ111" s="46"/>
    </x:row>
    <x:row r="112"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  <x:c r="AA112" s="46"/>
      <x:c r="AB112" s="46"/>
      <x:c r="AC112" s="46"/>
      <x:c r="AD112" s="46"/>
      <x:c r="AE112" s="46"/>
      <x:c r="AF112" s="46"/>
      <x:c r="AG112" s="46"/>
      <x:c r="AH112" s="46"/>
      <x:c r="AI112" s="46"/>
      <x:c r="AJ112" s="46"/>
    </x:row>
    <x:row r="113"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  <x:c r="AA113" s="46"/>
      <x:c r="AB113" s="46"/>
      <x:c r="AC113" s="46"/>
      <x:c r="AD113" s="46"/>
      <x:c r="AE113" s="46"/>
      <x:c r="AF113" s="46"/>
      <x:c r="AG113" s="46"/>
      <x:c r="AH113" s="46"/>
      <x:c r="AI113" s="46"/>
      <x:c r="AJ113" s="46"/>
    </x:row>
    <x:row r="114"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  <x:c r="AA114" s="46"/>
      <x:c r="AB114" s="46"/>
      <x:c r="AC114" s="46"/>
      <x:c r="AD114" s="46"/>
      <x:c r="AE114" s="46"/>
      <x:c r="AF114" s="46"/>
      <x:c r="AG114" s="46"/>
      <x:c r="AH114" s="46"/>
      <x:c r="AI114" s="46"/>
      <x:c r="AJ114" s="46"/>
    </x:row>
    <x:row r="115"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  <x:c r="AA115" s="46"/>
      <x:c r="AB115" s="46"/>
      <x:c r="AC115" s="46"/>
      <x:c r="AD115" s="46"/>
      <x:c r="AE115" s="46"/>
      <x:c r="AF115" s="46"/>
      <x:c r="AG115" s="46"/>
      <x:c r="AH115" s="46"/>
      <x:c r="AI115" s="46"/>
      <x:c r="AJ115" s="46"/>
    </x:row>
    <x:row r="116"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  <x:c r="AA116" s="46"/>
      <x:c r="AB116" s="46"/>
      <x:c r="AC116" s="46"/>
      <x:c r="AD116" s="46"/>
      <x:c r="AE116" s="46"/>
      <x:c r="AF116" s="46"/>
      <x:c r="AG116" s="46"/>
      <x:c r="AH116" s="46"/>
      <x:c r="AI116" s="46"/>
      <x:c r="AJ116" s="46"/>
    </x:row>
    <x:row r="117"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  <x:c r="AA117" s="46"/>
      <x:c r="AB117" s="46"/>
      <x:c r="AC117" s="46"/>
      <x:c r="AD117" s="46"/>
      <x:c r="AE117" s="46"/>
      <x:c r="AF117" s="46"/>
      <x:c r="AG117" s="46"/>
      <x:c r="AH117" s="46"/>
      <x:c r="AI117" s="46"/>
      <x:c r="AJ117" s="46"/>
    </x:row>
    <x:row r="118"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  <x:c r="AA118" s="46"/>
      <x:c r="AB118" s="46"/>
      <x:c r="AC118" s="46"/>
      <x:c r="AD118" s="46"/>
      <x:c r="AE118" s="46"/>
      <x:c r="AF118" s="46"/>
      <x:c r="AG118" s="46"/>
      <x:c r="AH118" s="46"/>
      <x:c r="AI118" s="46"/>
      <x:c r="AJ118" s="46"/>
    </x:row>
    <x:row r="119"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  <x:c r="AA119" s="46"/>
      <x:c r="AB119" s="46"/>
      <x:c r="AC119" s="46"/>
      <x:c r="AD119" s="46"/>
      <x:c r="AE119" s="46"/>
      <x:c r="AF119" s="46"/>
      <x:c r="AG119" s="46"/>
      <x:c r="AH119" s="46"/>
      <x:c r="AI119" s="46"/>
      <x:c r="AJ119" s="46"/>
    </x:row>
    <x:row r="120"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  <x:c r="AA120" s="46"/>
      <x:c r="AB120" s="46"/>
      <x:c r="AC120" s="46"/>
      <x:c r="AD120" s="46"/>
      <x:c r="AE120" s="46"/>
      <x:c r="AF120" s="46"/>
      <x:c r="AG120" s="46"/>
      <x:c r="AH120" s="46"/>
      <x:c r="AI120" s="46"/>
      <x:c r="AJ120" s="46"/>
    </x:row>
    <x:row r="121"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  <x:c r="AA121" s="46"/>
      <x:c r="AB121" s="46"/>
      <x:c r="AC121" s="46"/>
      <x:c r="AD121" s="46"/>
      <x:c r="AE121" s="46"/>
      <x:c r="AF121" s="46"/>
      <x:c r="AG121" s="46"/>
      <x:c r="AH121" s="46"/>
      <x:c r="AI121" s="46"/>
      <x:c r="AJ121" s="46"/>
    </x:row>
    <x:row r="122"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  <x:c r="AA122" s="46"/>
      <x:c r="AB122" s="46"/>
      <x:c r="AC122" s="46"/>
      <x:c r="AD122" s="46"/>
      <x:c r="AE122" s="46"/>
      <x:c r="AF122" s="46"/>
      <x:c r="AG122" s="46"/>
      <x:c r="AH122" s="46"/>
      <x:c r="AI122" s="46"/>
      <x:c r="AJ122" s="46"/>
    </x:row>
    <x:row r="123"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  <x:c r="AA123" s="46"/>
      <x:c r="AB123" s="46"/>
      <x:c r="AC123" s="46"/>
      <x:c r="AD123" s="46"/>
      <x:c r="AE123" s="46"/>
      <x:c r="AF123" s="46"/>
      <x:c r="AG123" s="46"/>
      <x:c r="AH123" s="46"/>
      <x:c r="AI123" s="46"/>
      <x:c r="AJ123" s="46"/>
    </x:row>
    <x:row r="124"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  <x:c r="AA124" s="46"/>
      <x:c r="AB124" s="46"/>
      <x:c r="AC124" s="46"/>
      <x:c r="AD124" s="46"/>
      <x:c r="AE124" s="46"/>
      <x:c r="AF124" s="46"/>
      <x:c r="AG124" s="46"/>
      <x:c r="AH124" s="46"/>
      <x:c r="AI124" s="46"/>
      <x:c r="AJ124" s="46"/>
    </x:row>
    <x:row r="125"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  <x:c r="AA125" s="46"/>
      <x:c r="AB125" s="46"/>
      <x:c r="AC125" s="46"/>
      <x:c r="AD125" s="46"/>
      <x:c r="AE125" s="46"/>
      <x:c r="AF125" s="46"/>
      <x:c r="AG125" s="46"/>
      <x:c r="AH125" s="46"/>
      <x:c r="AI125" s="46"/>
      <x:c r="AJ125" s="46"/>
    </x:row>
    <x:row r="126"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  <x:c r="AA126" s="46"/>
      <x:c r="AB126" s="46"/>
      <x:c r="AC126" s="46"/>
      <x:c r="AD126" s="46"/>
      <x:c r="AE126" s="46"/>
      <x:c r="AF126" s="46"/>
      <x:c r="AG126" s="46"/>
      <x:c r="AH126" s="46"/>
      <x:c r="AI126" s="46"/>
      <x:c r="AJ126" s="46"/>
    </x:row>
    <x:row r="127"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  <x:c r="AA127" s="46"/>
      <x:c r="AB127" s="46"/>
      <x:c r="AC127" s="46"/>
      <x:c r="AD127" s="46"/>
      <x:c r="AE127" s="46"/>
      <x:c r="AF127" s="46"/>
      <x:c r="AG127" s="46"/>
      <x:c r="AH127" s="46"/>
      <x:c r="AI127" s="46"/>
      <x:c r="AJ127" s="46"/>
    </x:row>
    <x:row r="128"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  <x:c r="AA128" s="46"/>
      <x:c r="AB128" s="46"/>
      <x:c r="AC128" s="46"/>
      <x:c r="AD128" s="46"/>
      <x:c r="AE128" s="46"/>
      <x:c r="AF128" s="46"/>
      <x:c r="AG128" s="46"/>
      <x:c r="AH128" s="46"/>
      <x:c r="AI128" s="46"/>
      <x:c r="AJ128" s="46"/>
    </x:row>
    <x:row r="129"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  <x:c r="AA129" s="46"/>
      <x:c r="AB129" s="46"/>
      <x:c r="AC129" s="46"/>
      <x:c r="AD129" s="46"/>
      <x:c r="AE129" s="46"/>
      <x:c r="AF129" s="46"/>
      <x:c r="AG129" s="46"/>
      <x:c r="AH129" s="46"/>
      <x:c r="AI129" s="46"/>
      <x:c r="AJ129" s="46"/>
    </x:row>
    <x:row r="130"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  <x:c r="AA130" s="46"/>
      <x:c r="AB130" s="46"/>
      <x:c r="AC130" s="46"/>
      <x:c r="AD130" s="46"/>
      <x:c r="AE130" s="46"/>
      <x:c r="AF130" s="46"/>
      <x:c r="AG130" s="46"/>
      <x:c r="AH130" s="46"/>
      <x:c r="AI130" s="46"/>
      <x:c r="AJ130" s="46"/>
    </x:row>
    <x:row r="131"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  <x:c r="AA131" s="46"/>
      <x:c r="AB131" s="46"/>
      <x:c r="AC131" s="46"/>
      <x:c r="AD131" s="46"/>
      <x:c r="AE131" s="46"/>
      <x:c r="AF131" s="46"/>
      <x:c r="AG131" s="46"/>
      <x:c r="AH131" s="46"/>
      <x:c r="AI131" s="46"/>
      <x:c r="AJ131" s="46"/>
    </x:row>
    <x:row r="132"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  <x:c r="AA132" s="46"/>
      <x:c r="AB132" s="46"/>
      <x:c r="AC132" s="46"/>
      <x:c r="AD132" s="46"/>
      <x:c r="AE132" s="46"/>
      <x:c r="AF132" s="46"/>
      <x:c r="AG132" s="46"/>
      <x:c r="AH132" s="46"/>
      <x:c r="AI132" s="46"/>
      <x:c r="AJ132" s="46"/>
    </x:row>
    <x:row r="133"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  <x:c r="AA133" s="46"/>
      <x:c r="AB133" s="46"/>
      <x:c r="AC133" s="46"/>
      <x:c r="AD133" s="46"/>
      <x:c r="AE133" s="46"/>
      <x:c r="AF133" s="46"/>
      <x:c r="AG133" s="46"/>
      <x:c r="AH133" s="46"/>
      <x:c r="AI133" s="46"/>
      <x:c r="AJ133" s="46"/>
    </x:row>
    <x:row r="134"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  <x:c r="AA134" s="46"/>
      <x:c r="AB134" s="46"/>
      <x:c r="AC134" s="46"/>
      <x:c r="AD134" s="46"/>
      <x:c r="AE134" s="46"/>
      <x:c r="AF134" s="46"/>
      <x:c r="AG134" s="46"/>
      <x:c r="AH134" s="46"/>
      <x:c r="AI134" s="46"/>
      <x:c r="AJ134" s="46"/>
    </x:row>
    <x:row r="135"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  <x:c r="AA135" s="46"/>
      <x:c r="AB135" s="46"/>
      <x:c r="AC135" s="46"/>
      <x:c r="AD135" s="46"/>
      <x:c r="AE135" s="46"/>
      <x:c r="AF135" s="46"/>
      <x:c r="AG135" s="46"/>
      <x:c r="AH135" s="46"/>
      <x:c r="AI135" s="46"/>
      <x:c r="AJ135" s="46"/>
    </x:row>
    <x:row r="136"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  <x:c r="AA136" s="46"/>
      <x:c r="AB136" s="46"/>
      <x:c r="AC136" s="46"/>
      <x:c r="AD136" s="46"/>
      <x:c r="AE136" s="46"/>
      <x:c r="AF136" s="46"/>
      <x:c r="AG136" s="46"/>
      <x:c r="AH136" s="46"/>
      <x:c r="AI136" s="46"/>
      <x:c r="AJ136" s="46"/>
    </x:row>
    <x:row r="137"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  <x:c r="AA137" s="46"/>
      <x:c r="AB137" s="46"/>
      <x:c r="AC137" s="46"/>
      <x:c r="AD137" s="46"/>
      <x:c r="AE137" s="46"/>
      <x:c r="AF137" s="46"/>
      <x:c r="AG137" s="46"/>
      <x:c r="AH137" s="46"/>
      <x:c r="AI137" s="46"/>
      <x:c r="AJ137" s="46"/>
    </x:row>
    <x:row r="138"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  <x:c r="AA138" s="46"/>
      <x:c r="AB138" s="46"/>
      <x:c r="AC138" s="46"/>
      <x:c r="AD138" s="46"/>
      <x:c r="AE138" s="46"/>
      <x:c r="AF138" s="46"/>
      <x:c r="AG138" s="46"/>
      <x:c r="AH138" s="46"/>
      <x:c r="AI138" s="46"/>
      <x:c r="AJ138" s="46"/>
    </x:row>
    <x:row r="139"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  <x:c r="AA139" s="46"/>
      <x:c r="AB139" s="46"/>
      <x:c r="AC139" s="46"/>
      <x:c r="AD139" s="46"/>
      <x:c r="AE139" s="46"/>
      <x:c r="AF139" s="46"/>
      <x:c r="AG139" s="46"/>
      <x:c r="AH139" s="46"/>
      <x:c r="AI139" s="46"/>
      <x:c r="AJ139" s="46"/>
    </x:row>
    <x:row r="140"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  <x:c r="AA140" s="46"/>
      <x:c r="AB140" s="46"/>
      <x:c r="AC140" s="46"/>
      <x:c r="AD140" s="46"/>
      <x:c r="AE140" s="46"/>
      <x:c r="AF140" s="46"/>
      <x:c r="AG140" s="46"/>
      <x:c r="AH140" s="46"/>
      <x:c r="AI140" s="46"/>
      <x:c r="AJ140" s="46"/>
    </x:row>
    <x:row r="141"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  <x:c r="AA141" s="46"/>
      <x:c r="AB141" s="46"/>
      <x:c r="AC141" s="46"/>
      <x:c r="AD141" s="46"/>
      <x:c r="AE141" s="46"/>
      <x:c r="AF141" s="46"/>
      <x:c r="AG141" s="46"/>
      <x:c r="AH141" s="46"/>
      <x:c r="AI141" s="46"/>
      <x:c r="AJ141" s="46"/>
    </x:row>
    <x:row r="142"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  <x:c r="AA142" s="46"/>
      <x:c r="AB142" s="46"/>
      <x:c r="AC142" s="46"/>
      <x:c r="AD142" s="46"/>
      <x:c r="AE142" s="46"/>
      <x:c r="AF142" s="46"/>
      <x:c r="AG142" s="46"/>
      <x:c r="AH142" s="46"/>
      <x:c r="AI142" s="46"/>
      <x:c r="AJ142" s="46"/>
    </x:row>
    <x:row r="143"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  <x:c r="AA143" s="46"/>
      <x:c r="AB143" s="46"/>
      <x:c r="AC143" s="46"/>
      <x:c r="AD143" s="46"/>
      <x:c r="AE143" s="46"/>
      <x:c r="AF143" s="46"/>
      <x:c r="AG143" s="46"/>
      <x:c r="AH143" s="46"/>
      <x:c r="AI143" s="46"/>
      <x:c r="AJ143" s="46"/>
    </x:row>
    <x:row r="144"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  <x:c r="AA144" s="46"/>
      <x:c r="AB144" s="46"/>
      <x:c r="AC144" s="46"/>
      <x:c r="AD144" s="46"/>
      <x:c r="AE144" s="46"/>
      <x:c r="AF144" s="46"/>
      <x:c r="AG144" s="46"/>
      <x:c r="AH144" s="46"/>
      <x:c r="AI144" s="46"/>
      <x:c r="AJ144" s="46"/>
    </x:row>
    <x:row r="145"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  <x:c r="AA145" s="46"/>
      <x:c r="AB145" s="46"/>
      <x:c r="AC145" s="46"/>
      <x:c r="AD145" s="46"/>
      <x:c r="AE145" s="46"/>
      <x:c r="AF145" s="46"/>
      <x:c r="AG145" s="46"/>
      <x:c r="AH145" s="46"/>
      <x:c r="AI145" s="46"/>
      <x:c r="AJ145" s="46"/>
    </x:row>
    <x:row r="146"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  <x:c r="AA146" s="46"/>
      <x:c r="AB146" s="46"/>
      <x:c r="AC146" s="46"/>
      <x:c r="AD146" s="46"/>
      <x:c r="AE146" s="46"/>
      <x:c r="AF146" s="46"/>
      <x:c r="AG146" s="46"/>
      <x:c r="AH146" s="46"/>
      <x:c r="AI146" s="46"/>
      <x:c r="AJ146" s="46"/>
    </x:row>
    <x:row r="147"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  <x:c r="AA147" s="46"/>
      <x:c r="AB147" s="46"/>
      <x:c r="AC147" s="46"/>
      <x:c r="AD147" s="46"/>
      <x:c r="AE147" s="46"/>
      <x:c r="AF147" s="46"/>
      <x:c r="AG147" s="46"/>
      <x:c r="AH147" s="46"/>
      <x:c r="AI147" s="46"/>
      <x:c r="AJ147" s="46"/>
    </x:row>
    <x:row r="148"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  <x:c r="AA148" s="46"/>
      <x:c r="AB148" s="46"/>
      <x:c r="AC148" s="46"/>
      <x:c r="AD148" s="46"/>
      <x:c r="AE148" s="46"/>
      <x:c r="AF148" s="46"/>
      <x:c r="AG148" s="46"/>
      <x:c r="AH148" s="46"/>
      <x:c r="AI148" s="46"/>
      <x:c r="AJ148" s="46"/>
    </x:row>
    <x:row r="149"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  <x:c r="AA149" s="46"/>
      <x:c r="AB149" s="46"/>
      <x:c r="AC149" s="46"/>
      <x:c r="AD149" s="46"/>
      <x:c r="AE149" s="46"/>
      <x:c r="AF149" s="46"/>
      <x:c r="AG149" s="46"/>
      <x:c r="AH149" s="46"/>
      <x:c r="AI149" s="46"/>
      <x:c r="AJ149" s="46"/>
    </x:row>
    <x:row r="150"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  <x:c r="AA150" s="46"/>
      <x:c r="AB150" s="46"/>
      <x:c r="AC150" s="46"/>
      <x:c r="AD150" s="46"/>
      <x:c r="AE150" s="46"/>
      <x:c r="AF150" s="46"/>
      <x:c r="AG150" s="46"/>
      <x:c r="AH150" s="46"/>
      <x:c r="AI150" s="46"/>
      <x:c r="AJ150" s="46"/>
    </x:row>
    <x:row r="151"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  <x:c r="AA151" s="46"/>
      <x:c r="AB151" s="46"/>
      <x:c r="AC151" s="46"/>
      <x:c r="AD151" s="46"/>
      <x:c r="AE151" s="46"/>
      <x:c r="AF151" s="46"/>
      <x:c r="AG151" s="46"/>
      <x:c r="AH151" s="46"/>
      <x:c r="AI151" s="46"/>
      <x:c r="AJ151" s="46"/>
    </x:row>
    <x:row r="152"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  <x:c r="AA152" s="46"/>
      <x:c r="AB152" s="46"/>
      <x:c r="AC152" s="46"/>
      <x:c r="AD152" s="46"/>
      <x:c r="AE152" s="46"/>
      <x:c r="AF152" s="46"/>
      <x:c r="AG152" s="46"/>
      <x:c r="AH152" s="46"/>
      <x:c r="AI152" s="46"/>
      <x:c r="AJ152" s="46"/>
    </x:row>
    <x:row r="153"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  <x:c r="AA153" s="46"/>
      <x:c r="AB153" s="46"/>
      <x:c r="AC153" s="46"/>
      <x:c r="AD153" s="46"/>
      <x:c r="AE153" s="46"/>
      <x:c r="AF153" s="46"/>
      <x:c r="AG153" s="46"/>
      <x:c r="AH153" s="46"/>
      <x:c r="AI153" s="46"/>
      <x:c r="AJ153" s="46"/>
    </x:row>
    <x:row r="154"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  <x:c r="AA154" s="46"/>
      <x:c r="AB154" s="46"/>
      <x:c r="AC154" s="46"/>
      <x:c r="AD154" s="46"/>
      <x:c r="AE154" s="46"/>
      <x:c r="AF154" s="46"/>
      <x:c r="AG154" s="46"/>
      <x:c r="AH154" s="46"/>
      <x:c r="AI154" s="46"/>
      <x:c r="AJ154" s="46"/>
    </x:row>
    <x:row r="155"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  <x:c r="AA155" s="46"/>
      <x:c r="AB155" s="46"/>
      <x:c r="AC155" s="46"/>
      <x:c r="AD155" s="46"/>
      <x:c r="AE155" s="46"/>
      <x:c r="AF155" s="46"/>
      <x:c r="AG155" s="46"/>
      <x:c r="AH155" s="46"/>
      <x:c r="AI155" s="46"/>
      <x:c r="AJ155" s="46"/>
    </x:row>
    <x:row r="156"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  <x:c r="AA156" s="46"/>
      <x:c r="AB156" s="46"/>
      <x:c r="AC156" s="46"/>
      <x:c r="AD156" s="46"/>
      <x:c r="AE156" s="46"/>
      <x:c r="AF156" s="46"/>
      <x:c r="AG156" s="46"/>
      <x:c r="AH156" s="46"/>
      <x:c r="AI156" s="46"/>
      <x:c r="AJ156" s="46"/>
    </x:row>
    <x:row r="157"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  <x:c r="AA157" s="46"/>
      <x:c r="AB157" s="46"/>
      <x:c r="AC157" s="46"/>
      <x:c r="AD157" s="46"/>
      <x:c r="AE157" s="46"/>
      <x:c r="AF157" s="46"/>
      <x:c r="AG157" s="46"/>
      <x:c r="AH157" s="46"/>
      <x:c r="AI157" s="46"/>
      <x:c r="AJ157" s="46"/>
    </x:row>
    <x:row r="158"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  <x:c r="AA158" s="46"/>
      <x:c r="AB158" s="46"/>
      <x:c r="AC158" s="46"/>
      <x:c r="AD158" s="46"/>
      <x:c r="AE158" s="46"/>
      <x:c r="AF158" s="46"/>
      <x:c r="AG158" s="46"/>
      <x:c r="AH158" s="46"/>
      <x:c r="AI158" s="46"/>
      <x:c r="AJ158" s="46"/>
    </x:row>
    <x:row r="159"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  <x:c r="AA159" s="46"/>
      <x:c r="AB159" s="46"/>
      <x:c r="AC159" s="46"/>
      <x:c r="AD159" s="46"/>
      <x:c r="AE159" s="46"/>
      <x:c r="AF159" s="46"/>
      <x:c r="AG159" s="46"/>
      <x:c r="AH159" s="46"/>
      <x:c r="AI159" s="46"/>
      <x:c r="AJ159" s="46"/>
    </x:row>
    <x:row r="160"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  <x:c r="AA160" s="46"/>
      <x:c r="AB160" s="46"/>
      <x:c r="AC160" s="46"/>
      <x:c r="AD160" s="46"/>
      <x:c r="AE160" s="46"/>
      <x:c r="AF160" s="46"/>
      <x:c r="AG160" s="46"/>
      <x:c r="AH160" s="46"/>
      <x:c r="AI160" s="46"/>
      <x:c r="AJ160" s="46"/>
    </x:row>
    <x:row r="161"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  <x:c r="AA161" s="46"/>
      <x:c r="AB161" s="46"/>
      <x:c r="AC161" s="46"/>
      <x:c r="AD161" s="46"/>
      <x:c r="AE161" s="46"/>
      <x:c r="AF161" s="46"/>
      <x:c r="AG161" s="46"/>
      <x:c r="AH161" s="46"/>
      <x:c r="AI161" s="46"/>
      <x:c r="AJ161" s="46"/>
    </x:row>
    <x:row r="162"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  <x:c r="AA162" s="46"/>
      <x:c r="AB162" s="46"/>
      <x:c r="AC162" s="46"/>
      <x:c r="AD162" s="46"/>
      <x:c r="AE162" s="46"/>
      <x:c r="AF162" s="46"/>
      <x:c r="AG162" s="46"/>
      <x:c r="AH162" s="46"/>
      <x:c r="AI162" s="46"/>
      <x:c r="AJ162" s="46"/>
    </x:row>
    <x:row r="163"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  <x:c r="AA163" s="46"/>
      <x:c r="AB163" s="46"/>
      <x:c r="AC163" s="46"/>
      <x:c r="AD163" s="46"/>
      <x:c r="AE163" s="46"/>
      <x:c r="AF163" s="46"/>
      <x:c r="AG163" s="46"/>
      <x:c r="AH163" s="46"/>
      <x:c r="AI163" s="46"/>
      <x:c r="AJ163" s="46"/>
    </x:row>
    <x:row r="164"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  <x:c r="AA164" s="46"/>
      <x:c r="AB164" s="46"/>
      <x:c r="AC164" s="46"/>
      <x:c r="AD164" s="46"/>
      <x:c r="AE164" s="46"/>
      <x:c r="AF164" s="46"/>
      <x:c r="AG164" s="46"/>
      <x:c r="AH164" s="46"/>
      <x:c r="AI164" s="46"/>
      <x:c r="AJ164" s="46"/>
    </x:row>
    <x:row r="165"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  <x:c r="AA165" s="46"/>
      <x:c r="AB165" s="46"/>
      <x:c r="AC165" s="46"/>
      <x:c r="AD165" s="46"/>
      <x:c r="AE165" s="46"/>
      <x:c r="AF165" s="46"/>
      <x:c r="AG165" s="46"/>
      <x:c r="AH165" s="46"/>
      <x:c r="AI165" s="46"/>
      <x:c r="AJ165" s="46"/>
    </x:row>
    <x:row r="166"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  <x:c r="AA166" s="46"/>
      <x:c r="AB166" s="46"/>
      <x:c r="AC166" s="46"/>
      <x:c r="AD166" s="46"/>
      <x:c r="AE166" s="46"/>
      <x:c r="AF166" s="46"/>
      <x:c r="AG166" s="46"/>
      <x:c r="AH166" s="46"/>
      <x:c r="AI166" s="46"/>
      <x:c r="AJ166" s="46"/>
    </x:row>
    <x:row r="167"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  <x:c r="AA167" s="46"/>
      <x:c r="AB167" s="46"/>
      <x:c r="AC167" s="46"/>
      <x:c r="AD167" s="46"/>
      <x:c r="AE167" s="46"/>
      <x:c r="AF167" s="46"/>
      <x:c r="AG167" s="46"/>
      <x:c r="AH167" s="46"/>
      <x:c r="AI167" s="46"/>
      <x:c r="AJ167" s="46"/>
    </x:row>
    <x:row r="168"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  <x:c r="AA168" s="46"/>
      <x:c r="AB168" s="46"/>
      <x:c r="AC168" s="46"/>
      <x:c r="AD168" s="46"/>
      <x:c r="AE168" s="46"/>
      <x:c r="AF168" s="46"/>
      <x:c r="AG168" s="46"/>
      <x:c r="AH168" s="46"/>
      <x:c r="AI168" s="46"/>
      <x:c r="AJ168" s="46"/>
    </x:row>
    <x:row r="169"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  <x:c r="AA169" s="46"/>
      <x:c r="AB169" s="46"/>
      <x:c r="AC169" s="46"/>
      <x:c r="AD169" s="46"/>
      <x:c r="AE169" s="46"/>
      <x:c r="AF169" s="46"/>
      <x:c r="AG169" s="46"/>
      <x:c r="AH169" s="46"/>
      <x:c r="AI169" s="46"/>
      <x:c r="AJ169" s="46"/>
    </x:row>
    <x:row r="170"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  <x:c r="AA170" s="46"/>
      <x:c r="AB170" s="46"/>
      <x:c r="AC170" s="46"/>
      <x:c r="AD170" s="46"/>
      <x:c r="AE170" s="46"/>
      <x:c r="AF170" s="46"/>
      <x:c r="AG170" s="46"/>
      <x:c r="AH170" s="46"/>
      <x:c r="AI170" s="46"/>
      <x:c r="AJ170" s="46"/>
    </x:row>
    <x:row r="171"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  <x:c r="AA171" s="46"/>
      <x:c r="AB171" s="46"/>
      <x:c r="AC171" s="46"/>
      <x:c r="AD171" s="46"/>
      <x:c r="AE171" s="46"/>
      <x:c r="AF171" s="46"/>
      <x:c r="AG171" s="46"/>
      <x:c r="AH171" s="46"/>
      <x:c r="AI171" s="46"/>
      <x:c r="AJ171" s="46"/>
    </x:row>
    <x:row r="172"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  <x:c r="AA172" s="46"/>
      <x:c r="AB172" s="46"/>
      <x:c r="AC172" s="46"/>
      <x:c r="AD172" s="46"/>
      <x:c r="AE172" s="46"/>
      <x:c r="AF172" s="46"/>
      <x:c r="AG172" s="46"/>
      <x:c r="AH172" s="46"/>
      <x:c r="AI172" s="46"/>
      <x:c r="AJ172" s="46"/>
    </x:row>
    <x:row r="173"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  <x:c r="AA173" s="46"/>
      <x:c r="AB173" s="46"/>
      <x:c r="AC173" s="46"/>
      <x:c r="AD173" s="46"/>
      <x:c r="AE173" s="46"/>
      <x:c r="AF173" s="46"/>
      <x:c r="AG173" s="46"/>
      <x:c r="AH173" s="46"/>
      <x:c r="AI173" s="46"/>
      <x:c r="AJ173" s="46"/>
    </x:row>
    <x:row r="174"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  <x:c r="AA174" s="46"/>
      <x:c r="AB174" s="46"/>
      <x:c r="AC174" s="46"/>
      <x:c r="AD174" s="46"/>
      <x:c r="AE174" s="46"/>
      <x:c r="AF174" s="46"/>
      <x:c r="AG174" s="46"/>
      <x:c r="AH174" s="46"/>
      <x:c r="AI174" s="46"/>
      <x:c r="AJ174" s="46"/>
    </x:row>
    <x:row r="175"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  <x:c r="AA175" s="46"/>
      <x:c r="AB175" s="46"/>
      <x:c r="AC175" s="46"/>
      <x:c r="AD175" s="46"/>
      <x:c r="AE175" s="46"/>
      <x:c r="AF175" s="46"/>
      <x:c r="AG175" s="46"/>
      <x:c r="AH175" s="46"/>
      <x:c r="AI175" s="46"/>
      <x:c r="AJ175" s="46"/>
    </x:row>
    <x:row r="176"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  <x:c r="AA176" s="46"/>
      <x:c r="AB176" s="46"/>
      <x:c r="AC176" s="46"/>
      <x:c r="AD176" s="46"/>
      <x:c r="AE176" s="46"/>
      <x:c r="AF176" s="46"/>
      <x:c r="AG176" s="46"/>
      <x:c r="AH176" s="46"/>
      <x:c r="AI176" s="46"/>
      <x:c r="AJ176" s="46"/>
    </x:row>
    <x:row r="177"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  <x:c r="AA177" s="46"/>
      <x:c r="AB177" s="46"/>
      <x:c r="AC177" s="46"/>
      <x:c r="AD177" s="46"/>
      <x:c r="AE177" s="46"/>
      <x:c r="AF177" s="46"/>
      <x:c r="AG177" s="46"/>
      <x:c r="AH177" s="46"/>
      <x:c r="AI177" s="46"/>
      <x:c r="AJ177" s="46"/>
    </x:row>
    <x:row r="178"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  <x:c r="AA178" s="46"/>
      <x:c r="AB178" s="46"/>
      <x:c r="AC178" s="46"/>
      <x:c r="AD178" s="46"/>
      <x:c r="AE178" s="46"/>
      <x:c r="AF178" s="46"/>
      <x:c r="AG178" s="46"/>
      <x:c r="AH178" s="46"/>
      <x:c r="AI178" s="46"/>
      <x:c r="AJ178" s="46"/>
    </x:row>
    <x:row r="179"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  <x:c r="AA179" s="46"/>
      <x:c r="AB179" s="46"/>
      <x:c r="AC179" s="46"/>
      <x:c r="AD179" s="46"/>
      <x:c r="AE179" s="46"/>
      <x:c r="AF179" s="46"/>
      <x:c r="AG179" s="46"/>
      <x:c r="AH179" s="46"/>
      <x:c r="AI179" s="46"/>
      <x:c r="AJ179" s="46"/>
    </x:row>
    <x:row r="180"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  <x:c r="AA180" s="46"/>
      <x:c r="AB180" s="46"/>
      <x:c r="AC180" s="46"/>
      <x:c r="AD180" s="46"/>
      <x:c r="AE180" s="46"/>
      <x:c r="AF180" s="46"/>
      <x:c r="AG180" s="46"/>
      <x:c r="AH180" s="46"/>
      <x:c r="AI180" s="46"/>
      <x:c r="AJ180" s="46"/>
    </x:row>
    <x:row r="181"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  <x:c r="AA181" s="46"/>
      <x:c r="AB181" s="46"/>
      <x:c r="AC181" s="46"/>
      <x:c r="AD181" s="46"/>
      <x:c r="AE181" s="46"/>
      <x:c r="AF181" s="46"/>
      <x:c r="AG181" s="46"/>
      <x:c r="AH181" s="46"/>
      <x:c r="AI181" s="46"/>
      <x:c r="AJ181" s="46"/>
    </x:row>
    <x:row r="182"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  <x:c r="AA182" s="46"/>
      <x:c r="AB182" s="46"/>
      <x:c r="AC182" s="46"/>
      <x:c r="AD182" s="46"/>
      <x:c r="AE182" s="46"/>
      <x:c r="AF182" s="46"/>
      <x:c r="AG182" s="46"/>
      <x:c r="AH182" s="46"/>
      <x:c r="AI182" s="46"/>
      <x:c r="AJ182" s="46"/>
    </x:row>
    <x:row r="183"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  <x:c r="AA183" s="46"/>
      <x:c r="AB183" s="46"/>
      <x:c r="AC183" s="46"/>
      <x:c r="AD183" s="46"/>
      <x:c r="AE183" s="46"/>
      <x:c r="AF183" s="46"/>
      <x:c r="AG183" s="46"/>
      <x:c r="AH183" s="46"/>
      <x:c r="AI183" s="46"/>
      <x:c r="AJ183" s="46"/>
    </x:row>
    <x:row r="184"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  <x:c r="AA184" s="46"/>
      <x:c r="AB184" s="46"/>
      <x:c r="AC184" s="46"/>
      <x:c r="AD184" s="46"/>
      <x:c r="AE184" s="46"/>
      <x:c r="AF184" s="46"/>
      <x:c r="AG184" s="46"/>
      <x:c r="AH184" s="46"/>
      <x:c r="AI184" s="46"/>
      <x:c r="AJ184" s="46"/>
    </x:row>
    <x:row r="185"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  <x:c r="AA185" s="46"/>
      <x:c r="AB185" s="46"/>
      <x:c r="AC185" s="46"/>
      <x:c r="AD185" s="46"/>
      <x:c r="AE185" s="46"/>
      <x:c r="AF185" s="46"/>
      <x:c r="AG185" s="46"/>
      <x:c r="AH185" s="46"/>
      <x:c r="AI185" s="46"/>
      <x:c r="AJ185" s="46"/>
    </x:row>
    <x:row r="186"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  <x:c r="AA186" s="46"/>
      <x:c r="AB186" s="46"/>
      <x:c r="AC186" s="46"/>
      <x:c r="AD186" s="46"/>
      <x:c r="AE186" s="46"/>
      <x:c r="AF186" s="46"/>
      <x:c r="AG186" s="46"/>
      <x:c r="AH186" s="46"/>
      <x:c r="AI186" s="46"/>
      <x:c r="AJ186" s="46"/>
    </x:row>
    <x:row r="187"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  <x:c r="AA187" s="46"/>
      <x:c r="AB187" s="46"/>
      <x:c r="AC187" s="46"/>
      <x:c r="AD187" s="46"/>
      <x:c r="AE187" s="46"/>
      <x:c r="AF187" s="46"/>
      <x:c r="AG187" s="46"/>
      <x:c r="AH187" s="46"/>
      <x:c r="AI187" s="46"/>
      <x:c r="AJ187" s="46"/>
    </x:row>
    <x:row r="188"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  <x:c r="AA188" s="46"/>
      <x:c r="AB188" s="46"/>
      <x:c r="AC188" s="46"/>
      <x:c r="AD188" s="46"/>
      <x:c r="AE188" s="46"/>
      <x:c r="AF188" s="46"/>
      <x:c r="AG188" s="46"/>
      <x:c r="AH188" s="46"/>
      <x:c r="AI188" s="46"/>
      <x:c r="AJ188" s="46"/>
    </x:row>
    <x:row r="189"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  <x:c r="AA189" s="46"/>
      <x:c r="AB189" s="46"/>
      <x:c r="AC189" s="46"/>
      <x:c r="AD189" s="46"/>
      <x:c r="AE189" s="46"/>
      <x:c r="AF189" s="46"/>
      <x:c r="AG189" s="46"/>
      <x:c r="AH189" s="46"/>
      <x:c r="AI189" s="46"/>
      <x:c r="AJ189" s="46"/>
    </x:row>
    <x:row r="190"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  <x:c r="AA190" s="46"/>
      <x:c r="AB190" s="46"/>
      <x:c r="AC190" s="46"/>
      <x:c r="AD190" s="46"/>
      <x:c r="AE190" s="46"/>
      <x:c r="AF190" s="46"/>
      <x:c r="AG190" s="46"/>
      <x:c r="AH190" s="46"/>
      <x:c r="AI190" s="46"/>
      <x:c r="AJ190" s="46"/>
    </x:row>
    <x:row r="191"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  <x:c r="AA191" s="46"/>
      <x:c r="AB191" s="46"/>
      <x:c r="AC191" s="46"/>
      <x:c r="AD191" s="46"/>
      <x:c r="AE191" s="46"/>
      <x:c r="AF191" s="46"/>
      <x:c r="AG191" s="46"/>
      <x:c r="AH191" s="46"/>
      <x:c r="AI191" s="46"/>
      <x:c r="AJ191" s="46"/>
    </x:row>
    <x:row r="192"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  <x:c r="AA192" s="46"/>
      <x:c r="AB192" s="46"/>
      <x:c r="AC192" s="46"/>
      <x:c r="AD192" s="46"/>
      <x:c r="AE192" s="46"/>
      <x:c r="AF192" s="46"/>
      <x:c r="AG192" s="46"/>
      <x:c r="AH192" s="46"/>
      <x:c r="AI192" s="46"/>
      <x:c r="AJ192" s="46"/>
    </x:row>
    <x:row r="193"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  <x:c r="AA193" s="46"/>
      <x:c r="AB193" s="46"/>
      <x:c r="AC193" s="46"/>
      <x:c r="AD193" s="46"/>
      <x:c r="AE193" s="46"/>
      <x:c r="AF193" s="46"/>
      <x:c r="AG193" s="46"/>
      <x:c r="AH193" s="46"/>
      <x:c r="AI193" s="46"/>
      <x:c r="AJ193" s="46"/>
    </x:row>
    <x:row r="194"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  <x:c r="AA194" s="46"/>
      <x:c r="AB194" s="46"/>
      <x:c r="AC194" s="46"/>
      <x:c r="AD194" s="46"/>
      <x:c r="AE194" s="46"/>
      <x:c r="AF194" s="46"/>
      <x:c r="AG194" s="46"/>
      <x:c r="AH194" s="46"/>
      <x:c r="AI194" s="46"/>
      <x:c r="AJ194" s="46"/>
    </x:row>
    <x:row r="195"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  <x:c r="AA195" s="46"/>
      <x:c r="AB195" s="46"/>
      <x:c r="AC195" s="46"/>
      <x:c r="AD195" s="46"/>
      <x:c r="AE195" s="46"/>
      <x:c r="AF195" s="46"/>
      <x:c r="AG195" s="46"/>
      <x:c r="AH195" s="46"/>
      <x:c r="AI195" s="46"/>
      <x:c r="AJ195" s="46"/>
    </x:row>
    <x:row r="196"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  <x:c r="AA196" s="46"/>
      <x:c r="AB196" s="46"/>
      <x:c r="AC196" s="46"/>
      <x:c r="AD196" s="46"/>
      <x:c r="AE196" s="46"/>
      <x:c r="AF196" s="46"/>
      <x:c r="AG196" s="46"/>
      <x:c r="AH196" s="46"/>
      <x:c r="AI196" s="46"/>
      <x:c r="AJ196" s="46"/>
    </x:row>
    <x:row r="197"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  <x:c r="AA197" s="46"/>
      <x:c r="AB197" s="46"/>
      <x:c r="AC197" s="46"/>
      <x:c r="AD197" s="46"/>
      <x:c r="AE197" s="46"/>
      <x:c r="AF197" s="46"/>
      <x:c r="AG197" s="46"/>
      <x:c r="AH197" s="46"/>
      <x:c r="AI197" s="46"/>
      <x:c r="AJ197" s="46"/>
    </x:row>
    <x:row r="198"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  <x:c r="AA198" s="46"/>
      <x:c r="AB198" s="46"/>
      <x:c r="AC198" s="46"/>
      <x:c r="AD198" s="46"/>
      <x:c r="AE198" s="46"/>
      <x:c r="AF198" s="46"/>
      <x:c r="AG198" s="46"/>
      <x:c r="AH198" s="46"/>
      <x:c r="AI198" s="46"/>
      <x:c r="AJ198" s="46"/>
    </x:row>
    <x:row r="199"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  <x:c r="AA199" s="46"/>
      <x:c r="AB199" s="46"/>
      <x:c r="AC199" s="46"/>
      <x:c r="AD199" s="46"/>
      <x:c r="AE199" s="46"/>
      <x:c r="AF199" s="46"/>
      <x:c r="AG199" s="46"/>
      <x:c r="AH199" s="46"/>
      <x:c r="AI199" s="46"/>
      <x:c r="AJ199" s="46"/>
    </x:row>
    <x:row r="200"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  <x:c r="AA200" s="46"/>
      <x:c r="AB200" s="46"/>
      <x:c r="AC200" s="46"/>
      <x:c r="AD200" s="46"/>
      <x:c r="AE200" s="46"/>
      <x:c r="AF200" s="46"/>
      <x:c r="AG200" s="46"/>
      <x:c r="AH200" s="46"/>
      <x:c r="AI200" s="46"/>
      <x:c r="AJ200" s="46"/>
    </x:row>
  </x:sheetData>
  <x:conditionalFormatting sqref="R2:R81">
    <x:cfRule type="dataBar" priority="1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{E33594D3-7022-521A-A848-304430B7D560}</x14:id>
        </x:ext>
      </x:extLst>
    </x:cfRule>
  </x:conditionalFormatting>
  <x:conditionalFormatting sqref="S2:S81">
    <x:cfRule type="dataBar" priority="2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{BCDA95A2-3637-DAAE-DA3F-492FAE1DFF1F}</x14:id>
        </x:ext>
      </x:extLst>
    </x:cfRule>
  </x:conditionalFormatting>
  <x:conditionalFormatting sqref="AJ2:AJ8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ea03e655114e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33594D3-7022-521A-A848-304430B7D560}">
            <x14:dataBar gradient="1">
              <x14:cfvo type="min"/>
              <x14:cfvo type="max"/>
              <x14:fillColor rgb="FFF59E0B"/>
            </x14:dataBar>
          </x14:cfRule>
          <xm:sqref>R2:R81</xm:sqref>
        </x14:conditionalFormatting>
        <x14:conditionalFormatting>
          <x14:cfRule type="dataBar" priority="2" id="{BCDA95A2-3637-DAAE-DA3F-492FAE1DFF1F}">
            <x14:dataBar gradient="1">
              <x14:cfvo type="min"/>
              <x14:cfvo type="max"/>
              <x14:fillColor rgb="FF3B82F6"/>
            </x14:dataBar>
          </x14:cfRule>
          <xm:sqref>S2:S81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1" hidden="0" customWidth="1"/>
    <x:col min="5" max="5" width="11" hidden="0" customWidth="1"/>
    <x:col min="6" max="6" width="20" hidden="0" customWidth="1"/>
    <x:col min="7" max="7" width="20" hidden="0" customWidth="1"/>
    <x:col min="8" max="8" width="18" hidden="0" customWidth="1"/>
    <x:col min="9" max="9" width="13" hidden="0" customWidth="1"/>
    <x:col min="10" max="10" width="17" hidden="0" customWidth="1"/>
    <x:col min="11" max="11" width="18" hidden="0" customWidth="1"/>
    <x:col min="12" max="12" width="17" hidden="0" customWidth="1"/>
    <x:col min="13" max="13" width="15" hidden="0" customWidth="1"/>
    <x:col min="14" max="14" width="12" hidden="0" customWidth="1"/>
    <x:col min="15" max="15" width="15" hidden="0" customWidth="1"/>
    <x:col min="16" max="16" width="14" hidden="0" customWidth="1"/>
    <x:col min="17" max="17" width="13" hidden="0" customWidth="1"/>
    <x:col min="18" max="18" width="12" hidden="0" customWidth="1"/>
    <x:col min="19" max="19" width="11" hidden="0" customWidth="1"/>
    <x:col min="20" max="20" width="22" hidden="0" customWidth="1"/>
    <x:col min="21" max="21" width="11" hidden="0" customWidth="1"/>
    <x:col min="22" max="22" width="18" hidden="0" customWidth="1"/>
  </x:cols>
  <x:sheetData>
    <x:row r="1" ht="30" customHeight="1">
      <x:c r="A1" s="9" t="str">
        <x:v>route_id</x:v>
      </x:c>
      <x:c r="B1" s="9" t="str">
        <x:v>from_id</x:v>
      </x:c>
      <x:c r="C1" s="9" t="str">
        <x:v>to_id</x:v>
      </x:c>
      <x:c r="D1" s="9" t="str">
        <x:v>source_id</x:v>
      </x:c>
      <x:c r="E1" s="9" t="str">
        <x:v>target_id</x:v>
      </x:c>
      <x:c r="F1" s="9" t="str">
        <x:v>source_store</x:v>
      </x:c>
      <x:c r="G1" s="9" t="str">
        <x:v>target_store</x:v>
      </x:c>
      <x:c r="H1" s="9" t="str">
        <x:v>route_type</x:v>
      </x:c>
      <x:c r="I1" s="9" t="str">
        <x:v>distance_km</x:v>
      </x:c>
      <x:c r="J1" s="9" t="str">
        <x:v>route_distance_km</x:v>
      </x:c>
      <x:c r="K1" s="9" t="str">
        <x:v>direct_distance_km</x:v>
      </x:c>
      <x:c r="L1" s="9" t="str">
        <x:v>travel_time_min</x:v>
      </x:c>
      <x:c r="M1" s="9" t="str">
        <x:v>route_time_min</x:v>
      </x:c>
      <x:c r="N1" s="9" t="str">
        <x:v>time_min</x:v>
      </x:c>
      <x:c r="O1" s="9" t="str">
        <x:v>transport_cost</x:v>
      </x:c>
      <x:c r="P1" s="9" t="str">
        <x:v>estimated_cost</x:v>
      </x:c>
      <x:c r="Q1" s="9" t="str">
        <x:v>direct_cost</x:v>
      </x:c>
      <x:c r="R1" s="9" t="str">
        <x:v>cost_per_km</x:v>
      </x:c>
      <x:c r="S1" s="9" t="str">
        <x:v>fixed_cost</x:v>
      </x:c>
      <x:c r="T1" s="9" t="str">
        <x:v>cold_chain_available</x:v>
      </x:c>
      <x:c r="U1" s="9" t="str">
        <x:v>available</x:v>
      </x:c>
      <x:c r="V1" s="9" t="str">
        <x:v>transport_type</x:v>
      </x:c>
    </x:row>
    <x:row r="2" ht="22" customHeight="1">
      <x:c r="A2" s="4" t="str">
        <x:v>S01_DC01</x:v>
      </x:c>
      <x:c r="B2" s="4" t="str">
        <x:v>S01</x:v>
      </x:c>
      <x:c r="C2" s="4" t="str">
        <x:v>DC01</x:v>
      </x:c>
      <x:c r="D2" s="4" t="str">
        <x:v>S01</x:v>
      </x:c>
      <x:c r="E2" s="4" t="str">
        <x:v>DC01</x:v>
      </x:c>
      <x:c r="F2" s="4" t="str">
        <x:v>연신내점</x:v>
      </x:c>
      <x:c r="G2" s="4" t="str">
        <x:v>서울 서북권 물류센터</x:v>
      </x:c>
      <x:c r="H2" s="4" t="str">
        <x:v>STORE_TO_DC</x:v>
      </x:c>
      <x:c r="I2" s="42" t="n">
        <x:v>7.66</x:v>
      </x:c>
      <x:c r="J2" s="42" t="n">
        <x:v>7.66</x:v>
      </x:c>
      <x:c r="K2" s="42"/>
      <x:c r="L2" s="42" t="n">
        <x:v>16.4</x:v>
      </x:c>
      <x:c r="M2" s="42" t="n">
        <x:v>16.4</x:v>
      </x:c>
      <x:c r="N2" s="42" t="n">
        <x:v>16.4</x:v>
      </x:c>
      <x:c r="O2" s="42" t="n">
        <x:v>2795</x:v>
      </x:c>
      <x:c r="P2" s="42" t="n">
        <x:v>2795</x:v>
      </x:c>
      <x:c r="Q2" s="42"/>
      <x:c r="R2" s="42" t="n">
        <x:v>280</x:v>
      </x:c>
      <x:c r="S2" s="42" t="n">
        <x:v>650</x:v>
      </x:c>
      <x:c r="T2" s="4" t="str">
        <x:v>Y</x:v>
      </x:c>
      <x:c r="U2" s="4" t="str">
        <x:v>Y</x:v>
      </x:c>
      <x:c r="V2" s="14" t="str">
        <x:v>냉동/냉장 탑차</x:v>
      </x:c>
    </x:row>
    <x:row r="3" ht="22" customHeight="1">
      <x:c r="A3" s="4" t="str">
        <x:v>DC01_S01</x:v>
      </x:c>
      <x:c r="B3" s="4" t="str">
        <x:v>DC01</x:v>
      </x:c>
      <x:c r="C3" s="4" t="str">
        <x:v>S01</x:v>
      </x:c>
      <x:c r="D3" s="4" t="str">
        <x:v>DC01</x:v>
      </x:c>
      <x:c r="E3" s="4" t="str">
        <x:v>S01</x:v>
      </x:c>
      <x:c r="F3" s="4" t="str">
        <x:v>서울 서북권 물류센터</x:v>
      </x:c>
      <x:c r="G3" s="4" t="str">
        <x:v>연신내점</x:v>
      </x:c>
      <x:c r="H3" s="4" t="str">
        <x:v>DC_TO_STORE</x:v>
      </x:c>
      <x:c r="I3" s="42" t="n">
        <x:v>7.66</x:v>
      </x:c>
      <x:c r="J3" s="42" t="n">
        <x:v>7.66</x:v>
      </x:c>
      <x:c r="K3" s="42"/>
      <x:c r="L3" s="42" t="n">
        <x:v>16.4</x:v>
      </x:c>
      <x:c r="M3" s="42" t="n">
        <x:v>16.4</x:v>
      </x:c>
      <x:c r="N3" s="42" t="n">
        <x:v>16.4</x:v>
      </x:c>
      <x:c r="O3" s="42" t="n">
        <x:v>2795</x:v>
      </x:c>
      <x:c r="P3" s="42" t="n">
        <x:v>2795</x:v>
      </x:c>
      <x:c r="Q3" s="42"/>
      <x:c r="R3" s="42" t="n">
        <x:v>280</x:v>
      </x:c>
      <x:c r="S3" s="42" t="n">
        <x:v>650</x:v>
      </x:c>
      <x:c r="T3" s="4" t="str">
        <x:v>Y</x:v>
      </x:c>
      <x:c r="U3" s="4" t="str">
        <x:v>Y</x:v>
      </x:c>
      <x:c r="V3" s="14" t="str">
        <x:v>냉동/냉장 탑차</x:v>
      </x:c>
    </x:row>
    <x:row r="4" ht="22" customHeight="1">
      <x:c r="A4" s="4" t="str">
        <x:v>S02_DC01</x:v>
      </x:c>
      <x:c r="B4" s="4" t="str">
        <x:v>S02</x:v>
      </x:c>
      <x:c r="C4" s="4" t="str">
        <x:v>DC01</x:v>
      </x:c>
      <x:c r="D4" s="4" t="str">
        <x:v>S02</x:v>
      </x:c>
      <x:c r="E4" s="4" t="str">
        <x:v>DC01</x:v>
      </x:c>
      <x:c r="F4" s="4" t="str">
        <x:v>불광점</x:v>
      </x:c>
      <x:c r="G4" s="4" t="str">
        <x:v>서울 서북권 물류센터</x:v>
      </x:c>
      <x:c r="H4" s="4" t="str">
        <x:v>STORE_TO_DC</x:v>
      </x:c>
      <x:c r="I4" s="42" t="n">
        <x:v>6.16</x:v>
      </x:c>
      <x:c r="J4" s="42" t="n">
        <x:v>6.16</x:v>
      </x:c>
      <x:c r="K4" s="42"/>
      <x:c r="L4" s="42" t="n">
        <x:v>13.2</x:v>
      </x:c>
      <x:c r="M4" s="42" t="n">
        <x:v>13.2</x:v>
      </x:c>
      <x:c r="N4" s="42" t="n">
        <x:v>13.2</x:v>
      </x:c>
      <x:c r="O4" s="42" t="n">
        <x:v>2375</x:v>
      </x:c>
      <x:c r="P4" s="42" t="n">
        <x:v>2375</x:v>
      </x:c>
      <x:c r="Q4" s="42"/>
      <x:c r="R4" s="42" t="n">
        <x:v>280</x:v>
      </x:c>
      <x:c r="S4" s="42" t="n">
        <x:v>650</x:v>
      </x:c>
      <x:c r="T4" s="4" t="str">
        <x:v>Y</x:v>
      </x:c>
      <x:c r="U4" s="4" t="str">
        <x:v>Y</x:v>
      </x:c>
      <x:c r="V4" s="14" t="str">
        <x:v>냉동/냉장 탑차</x:v>
      </x:c>
    </x:row>
    <x:row r="5" ht="22" customHeight="1">
      <x:c r="A5" s="4" t="str">
        <x:v>DC01_S02</x:v>
      </x:c>
      <x:c r="B5" s="4" t="str">
        <x:v>DC01</x:v>
      </x:c>
      <x:c r="C5" s="4" t="str">
        <x:v>S02</x:v>
      </x:c>
      <x:c r="D5" s="4" t="str">
        <x:v>DC01</x:v>
      </x:c>
      <x:c r="E5" s="4" t="str">
        <x:v>S02</x:v>
      </x:c>
      <x:c r="F5" s="4" t="str">
        <x:v>서울 서북권 물류센터</x:v>
      </x:c>
      <x:c r="G5" s="4" t="str">
        <x:v>불광점</x:v>
      </x:c>
      <x:c r="H5" s="4" t="str">
        <x:v>DC_TO_STORE</x:v>
      </x:c>
      <x:c r="I5" s="42" t="n">
        <x:v>6.16</x:v>
      </x:c>
      <x:c r="J5" s="42" t="n">
        <x:v>6.16</x:v>
      </x:c>
      <x:c r="K5" s="42"/>
      <x:c r="L5" s="42" t="n">
        <x:v>13.2</x:v>
      </x:c>
      <x:c r="M5" s="42" t="n">
        <x:v>13.2</x:v>
      </x:c>
      <x:c r="N5" s="42" t="n">
        <x:v>13.2</x:v>
      </x:c>
      <x:c r="O5" s="42" t="n">
        <x:v>2375</x:v>
      </x:c>
      <x:c r="P5" s="42" t="n">
        <x:v>2375</x:v>
      </x:c>
      <x:c r="Q5" s="42"/>
      <x:c r="R5" s="42" t="n">
        <x:v>280</x:v>
      </x:c>
      <x:c r="S5" s="42" t="n">
        <x:v>650</x:v>
      </x:c>
      <x:c r="T5" s="4" t="str">
        <x:v>Y</x:v>
      </x:c>
      <x:c r="U5" s="4" t="str">
        <x:v>Y</x:v>
      </x:c>
      <x:c r="V5" s="14" t="str">
        <x:v>냉동/냉장 탑차</x:v>
      </x:c>
    </x:row>
    <x:row r="6" ht="22" customHeight="1">
      <x:c r="A6" s="4" t="str">
        <x:v>S03_DC01</x:v>
      </x:c>
      <x:c r="B6" s="4" t="str">
        <x:v>S03</x:v>
      </x:c>
      <x:c r="C6" s="4" t="str">
        <x:v>DC01</x:v>
      </x:c>
      <x:c r="D6" s="4" t="str">
        <x:v>S03</x:v>
      </x:c>
      <x:c r="E6" s="4" t="str">
        <x:v>DC01</x:v>
      </x:c>
      <x:c r="F6" s="4" t="str">
        <x:v>응암점</x:v>
      </x:c>
      <x:c r="G6" s="4" t="str">
        <x:v>서울 서북권 물류센터</x:v>
      </x:c>
      <x:c r="H6" s="4" t="str">
        <x:v>STORE_TO_DC</x:v>
      </x:c>
      <x:c r="I6" s="42" t="n">
        <x:v>6.35</x:v>
      </x:c>
      <x:c r="J6" s="42" t="n">
        <x:v>6.35</x:v>
      </x:c>
      <x:c r="K6" s="42"/>
      <x:c r="L6" s="42" t="n">
        <x:v>13.6</x:v>
      </x:c>
      <x:c r="M6" s="42" t="n">
        <x:v>13.6</x:v>
      </x:c>
      <x:c r="N6" s="42" t="n">
        <x:v>13.6</x:v>
      </x:c>
      <x:c r="O6" s="42" t="n">
        <x:v>2428</x:v>
      </x:c>
      <x:c r="P6" s="42" t="n">
        <x:v>2428</x:v>
      </x:c>
      <x:c r="Q6" s="42"/>
      <x:c r="R6" s="42" t="n">
        <x:v>280</x:v>
      </x:c>
      <x:c r="S6" s="42" t="n">
        <x:v>650</x:v>
      </x:c>
      <x:c r="T6" s="4" t="str">
        <x:v>Y</x:v>
      </x:c>
      <x:c r="U6" s="4" t="str">
        <x:v>Y</x:v>
      </x:c>
      <x:c r="V6" s="14" t="str">
        <x:v>냉동/냉장 탑차</x:v>
      </x:c>
    </x:row>
    <x:row r="7" ht="22" customHeight="1">
      <x:c r="A7" s="4" t="str">
        <x:v>DC01_S03</x:v>
      </x:c>
      <x:c r="B7" s="4" t="str">
        <x:v>DC01</x:v>
      </x:c>
      <x:c r="C7" s="4" t="str">
        <x:v>S03</x:v>
      </x:c>
      <x:c r="D7" s="4" t="str">
        <x:v>DC01</x:v>
      </x:c>
      <x:c r="E7" s="4" t="str">
        <x:v>S03</x:v>
      </x:c>
      <x:c r="F7" s="4" t="str">
        <x:v>서울 서북권 물류센터</x:v>
      </x:c>
      <x:c r="G7" s="4" t="str">
        <x:v>응암점</x:v>
      </x:c>
      <x:c r="H7" s="4" t="str">
        <x:v>DC_TO_STORE</x:v>
      </x:c>
      <x:c r="I7" s="42" t="n">
        <x:v>6.35</x:v>
      </x:c>
      <x:c r="J7" s="42" t="n">
        <x:v>6.35</x:v>
      </x:c>
      <x:c r="K7" s="42"/>
      <x:c r="L7" s="42" t="n">
        <x:v>13.6</x:v>
      </x:c>
      <x:c r="M7" s="42" t="n">
        <x:v>13.6</x:v>
      </x:c>
      <x:c r="N7" s="42" t="n">
        <x:v>13.6</x:v>
      </x:c>
      <x:c r="O7" s="42" t="n">
        <x:v>2428</x:v>
      </x:c>
      <x:c r="P7" s="42" t="n">
        <x:v>2428</x:v>
      </x:c>
      <x:c r="Q7" s="42"/>
      <x:c r="R7" s="42" t="n">
        <x:v>280</x:v>
      </x:c>
      <x:c r="S7" s="42" t="n">
        <x:v>650</x:v>
      </x:c>
      <x:c r="T7" s="4" t="str">
        <x:v>Y</x:v>
      </x:c>
      <x:c r="U7" s="4" t="str">
        <x:v>Y</x:v>
      </x:c>
      <x:c r="V7" s="14" t="str">
        <x:v>냉동/냉장 탑차</x:v>
      </x:c>
    </x:row>
    <x:row r="8" ht="22" customHeight="1">
      <x:c r="A8" s="4" t="str">
        <x:v>S04_DC01</x:v>
      </x:c>
      <x:c r="B8" s="4" t="str">
        <x:v>S04</x:v>
      </x:c>
      <x:c r="C8" s="4" t="str">
        <x:v>DC01</x:v>
      </x:c>
      <x:c r="D8" s="4" t="str">
        <x:v>S04</x:v>
      </x:c>
      <x:c r="E8" s="4" t="str">
        <x:v>DC01</x:v>
      </x:c>
      <x:c r="F8" s="4" t="str">
        <x:v>홍제점</x:v>
      </x:c>
      <x:c r="G8" s="4" t="str">
        <x:v>서울 서북권 물류센터</x:v>
      </x:c>
      <x:c r="H8" s="4" t="str">
        <x:v>STORE_TO_DC</x:v>
      </x:c>
      <x:c r="I8" s="42" t="n">
        <x:v>3.26</x:v>
      </x:c>
      <x:c r="J8" s="42" t="n">
        <x:v>3.26</x:v>
      </x:c>
      <x:c r="K8" s="42"/>
      <x:c r="L8" s="42" t="n">
        <x:v>7</x:v>
      </x:c>
      <x:c r="M8" s="42" t="n">
        <x:v>7</x:v>
      </x:c>
      <x:c r="N8" s="42" t="n">
        <x:v>7</x:v>
      </x:c>
      <x:c r="O8" s="42" t="n">
        <x:v>1563</x:v>
      </x:c>
      <x:c r="P8" s="42" t="n">
        <x:v>1563</x:v>
      </x:c>
      <x:c r="Q8" s="42"/>
      <x:c r="R8" s="42" t="n">
        <x:v>280</x:v>
      </x:c>
      <x:c r="S8" s="42" t="n">
        <x:v>650</x:v>
      </x:c>
      <x:c r="T8" s="4" t="str">
        <x:v>Y</x:v>
      </x:c>
      <x:c r="U8" s="4" t="str">
        <x:v>Y</x:v>
      </x:c>
      <x:c r="V8" s="14" t="str">
        <x:v>냉동/냉장 탑차</x:v>
      </x:c>
    </x:row>
    <x:row r="9" ht="22" customHeight="1">
      <x:c r="A9" s="4" t="str">
        <x:v>DC01_S04</x:v>
      </x:c>
      <x:c r="B9" s="4" t="str">
        <x:v>DC01</x:v>
      </x:c>
      <x:c r="C9" s="4" t="str">
        <x:v>S04</x:v>
      </x:c>
      <x:c r="D9" s="4" t="str">
        <x:v>DC01</x:v>
      </x:c>
      <x:c r="E9" s="4" t="str">
        <x:v>S04</x:v>
      </x:c>
      <x:c r="F9" s="4" t="str">
        <x:v>서울 서북권 물류센터</x:v>
      </x:c>
      <x:c r="G9" s="4" t="str">
        <x:v>홍제점</x:v>
      </x:c>
      <x:c r="H9" s="4" t="str">
        <x:v>DC_TO_STORE</x:v>
      </x:c>
      <x:c r="I9" s="42" t="n">
        <x:v>3.26</x:v>
      </x:c>
      <x:c r="J9" s="42" t="n">
        <x:v>3.26</x:v>
      </x:c>
      <x:c r="K9" s="42"/>
      <x:c r="L9" s="42" t="n">
        <x:v>7</x:v>
      </x:c>
      <x:c r="M9" s="42" t="n">
        <x:v>7</x:v>
      </x:c>
      <x:c r="N9" s="42" t="n">
        <x:v>7</x:v>
      </x:c>
      <x:c r="O9" s="42" t="n">
        <x:v>1563</x:v>
      </x:c>
      <x:c r="P9" s="42" t="n">
        <x:v>1563</x:v>
      </x:c>
      <x:c r="Q9" s="42"/>
      <x:c r="R9" s="42" t="n">
        <x:v>280</x:v>
      </x:c>
      <x:c r="S9" s="42" t="n">
        <x:v>650</x:v>
      </x:c>
      <x:c r="T9" s="4" t="str">
        <x:v>Y</x:v>
      </x:c>
      <x:c r="U9" s="4" t="str">
        <x:v>Y</x:v>
      </x:c>
      <x:c r="V9" s="14" t="str">
        <x:v>냉동/냉장 탑차</x:v>
      </x:c>
    </x:row>
    <x:row r="10" ht="22" customHeight="1">
      <x:c r="A10" s="4" t="str">
        <x:v>S05_DC01</x:v>
      </x:c>
      <x:c r="B10" s="4" t="str">
        <x:v>S05</x:v>
      </x:c>
      <x:c r="C10" s="4" t="str">
        <x:v>DC01</x:v>
      </x:c>
      <x:c r="D10" s="4" t="str">
        <x:v>S05</x:v>
      </x:c>
      <x:c r="E10" s="4" t="str">
        <x:v>DC01</x:v>
      </x:c>
      <x:c r="F10" s="4" t="str">
        <x:v>신촌점</x:v>
      </x:c>
      <x:c r="G10" s="4" t="str">
        <x:v>서울 서북권 물류센터</x:v>
      </x:c>
      <x:c r="H10" s="4" t="str">
        <x:v>STORE_TO_DC</x:v>
      </x:c>
      <x:c r="I10" s="42" t="n">
        <x:v>4</x:v>
      </x:c>
      <x:c r="J10" s="42" t="n">
        <x:v>4</x:v>
      </x:c>
      <x:c r="K10" s="42"/>
      <x:c r="L10" s="42" t="n">
        <x:v>8.6</x:v>
      </x:c>
      <x:c r="M10" s="42" t="n">
        <x:v>8.6</x:v>
      </x:c>
      <x:c r="N10" s="42" t="n">
        <x:v>8.6</x:v>
      </x:c>
      <x:c r="O10" s="42" t="n">
        <x:v>1770</x:v>
      </x:c>
      <x:c r="P10" s="42" t="n">
        <x:v>1770</x:v>
      </x:c>
      <x:c r="Q10" s="42"/>
      <x:c r="R10" s="42" t="n">
        <x:v>280</x:v>
      </x:c>
      <x:c r="S10" s="42" t="n">
        <x:v>650</x:v>
      </x:c>
      <x:c r="T10" s="4" t="str">
        <x:v>Y</x:v>
      </x:c>
      <x:c r="U10" s="4" t="str">
        <x:v>Y</x:v>
      </x:c>
      <x:c r="V10" s="14" t="str">
        <x:v>냉동/냉장 탑차</x:v>
      </x:c>
    </x:row>
    <x:row r="11" ht="22" customHeight="1">
      <x:c r="A11" s="4" t="str">
        <x:v>DC01_S05</x:v>
      </x:c>
      <x:c r="B11" s="4" t="str">
        <x:v>DC01</x:v>
      </x:c>
      <x:c r="C11" s="4" t="str">
        <x:v>S05</x:v>
      </x:c>
      <x:c r="D11" s="4" t="str">
        <x:v>DC01</x:v>
      </x:c>
      <x:c r="E11" s="4" t="str">
        <x:v>S05</x:v>
      </x:c>
      <x:c r="F11" s="4" t="str">
        <x:v>서울 서북권 물류센터</x:v>
      </x:c>
      <x:c r="G11" s="4" t="str">
        <x:v>신촌점</x:v>
      </x:c>
      <x:c r="H11" s="4" t="str">
        <x:v>DC_TO_STORE</x:v>
      </x:c>
      <x:c r="I11" s="42" t="n">
        <x:v>4</x:v>
      </x:c>
      <x:c r="J11" s="42" t="n">
        <x:v>4</x:v>
      </x:c>
      <x:c r="K11" s="42"/>
      <x:c r="L11" s="42" t="n">
        <x:v>8.6</x:v>
      </x:c>
      <x:c r="M11" s="42" t="n">
        <x:v>8.6</x:v>
      </x:c>
      <x:c r="N11" s="42" t="n">
        <x:v>8.6</x:v>
      </x:c>
      <x:c r="O11" s="42" t="n">
        <x:v>1770</x:v>
      </x:c>
      <x:c r="P11" s="42" t="n">
        <x:v>1770</x:v>
      </x:c>
      <x:c r="Q11" s="42"/>
      <x:c r="R11" s="42" t="n">
        <x:v>280</x:v>
      </x:c>
      <x:c r="S11" s="42" t="n">
        <x:v>650</x:v>
      </x:c>
      <x:c r="T11" s="4" t="str">
        <x:v>Y</x:v>
      </x:c>
      <x:c r="U11" s="4" t="str">
        <x:v>Y</x:v>
      </x:c>
      <x:c r="V11" s="14" t="str">
        <x:v>냉동/냉장 탑차</x:v>
      </x:c>
    </x:row>
    <x:row r="12" ht="22" customHeight="1">
      <x:c r="A12" s="4" t="str">
        <x:v>S06_DC01</x:v>
      </x:c>
      <x:c r="B12" s="4" t="str">
        <x:v>S06</x:v>
      </x:c>
      <x:c r="C12" s="4" t="str">
        <x:v>DC01</x:v>
      </x:c>
      <x:c r="D12" s="4" t="str">
        <x:v>S06</x:v>
      </x:c>
      <x:c r="E12" s="4" t="str">
        <x:v>DC01</x:v>
      </x:c>
      <x:c r="F12" s="4" t="str">
        <x:v>마포점</x:v>
      </x:c>
      <x:c r="G12" s="4" t="str">
        <x:v>서울 서북권 물류센터</x:v>
      </x:c>
      <x:c r="H12" s="4" t="str">
        <x:v>STORE_TO_DC</x:v>
      </x:c>
      <x:c r="I12" s="42" t="n">
        <x:v>3.67</x:v>
      </x:c>
      <x:c r="J12" s="42" t="n">
        <x:v>3.67</x:v>
      </x:c>
      <x:c r="K12" s="42"/>
      <x:c r="L12" s="42" t="n">
        <x:v>7.9</x:v>
      </x:c>
      <x:c r="M12" s="42" t="n">
        <x:v>7.9</x:v>
      </x:c>
      <x:c r="N12" s="42" t="n">
        <x:v>7.9</x:v>
      </x:c>
      <x:c r="O12" s="42" t="n">
        <x:v>1678</x:v>
      </x:c>
      <x:c r="P12" s="42" t="n">
        <x:v>1678</x:v>
      </x:c>
      <x:c r="Q12" s="42"/>
      <x:c r="R12" s="42" t="n">
        <x:v>280</x:v>
      </x:c>
      <x:c r="S12" s="42" t="n">
        <x:v>650</x:v>
      </x:c>
      <x:c r="T12" s="4" t="str">
        <x:v>Y</x:v>
      </x:c>
      <x:c r="U12" s="4" t="str">
        <x:v>Y</x:v>
      </x:c>
      <x:c r="V12" s="14" t="str">
        <x:v>냉동/냉장 탑차</x:v>
      </x:c>
    </x:row>
    <x:row r="13" ht="22" customHeight="1">
      <x:c r="A13" s="4" t="str">
        <x:v>DC01_S06</x:v>
      </x:c>
      <x:c r="B13" s="4" t="str">
        <x:v>DC01</x:v>
      </x:c>
      <x:c r="C13" s="4" t="str">
        <x:v>S06</x:v>
      </x:c>
      <x:c r="D13" s="4" t="str">
        <x:v>DC01</x:v>
      </x:c>
      <x:c r="E13" s="4" t="str">
        <x:v>S06</x:v>
      </x:c>
      <x:c r="F13" s="4" t="str">
        <x:v>서울 서북권 물류센터</x:v>
      </x:c>
      <x:c r="G13" s="4" t="str">
        <x:v>마포점</x:v>
      </x:c>
      <x:c r="H13" s="4" t="str">
        <x:v>DC_TO_STORE</x:v>
      </x:c>
      <x:c r="I13" s="42" t="n">
        <x:v>3.67</x:v>
      </x:c>
      <x:c r="J13" s="42" t="n">
        <x:v>3.67</x:v>
      </x:c>
      <x:c r="K13" s="42"/>
      <x:c r="L13" s="42" t="n">
        <x:v>7.9</x:v>
      </x:c>
      <x:c r="M13" s="42" t="n">
        <x:v>7.9</x:v>
      </x:c>
      <x:c r="N13" s="42" t="n">
        <x:v>7.9</x:v>
      </x:c>
      <x:c r="O13" s="42" t="n">
        <x:v>1678</x:v>
      </x:c>
      <x:c r="P13" s="42" t="n">
        <x:v>1678</x:v>
      </x:c>
      <x:c r="Q13" s="42"/>
      <x:c r="R13" s="42" t="n">
        <x:v>280</x:v>
      </x:c>
      <x:c r="S13" s="42" t="n">
        <x:v>650</x:v>
      </x:c>
      <x:c r="T13" s="4" t="str">
        <x:v>Y</x:v>
      </x:c>
      <x:c r="U13" s="4" t="str">
        <x:v>Y</x:v>
      </x:c>
      <x:c r="V13" s="14" t="str">
        <x:v>냉동/냉장 탑차</x:v>
      </x:c>
    </x:row>
    <x:row r="14" ht="22" customHeight="1">
      <x:c r="A14" s="4" t="str">
        <x:v>S07_DC01</x:v>
      </x:c>
      <x:c r="B14" s="4" t="str">
        <x:v>S07</x:v>
      </x:c>
      <x:c r="C14" s="4" t="str">
        <x:v>DC01</x:v>
      </x:c>
      <x:c r="D14" s="4" t="str">
        <x:v>S07</x:v>
      </x:c>
      <x:c r="E14" s="4" t="str">
        <x:v>DC01</x:v>
      </x:c>
      <x:c r="F14" s="4" t="str">
        <x:v>종로점</x:v>
      </x:c>
      <x:c r="G14" s="4" t="str">
        <x:v>서울 서북권 물류센터</x:v>
      </x:c>
      <x:c r="H14" s="4" t="str">
        <x:v>STORE_TO_DC</x:v>
      </x:c>
      <x:c r="I14" s="42" t="n">
        <x:v>1.48</x:v>
      </x:c>
      <x:c r="J14" s="42" t="n">
        <x:v>1.48</x:v>
      </x:c>
      <x:c r="K14" s="42"/>
      <x:c r="L14" s="42" t="n">
        <x:v>3.2</x:v>
      </x:c>
      <x:c r="M14" s="42" t="n">
        <x:v>3.2</x:v>
      </x:c>
      <x:c r="N14" s="42" t="n">
        <x:v>3.2</x:v>
      </x:c>
      <x:c r="O14" s="42" t="n">
        <x:v>1064</x:v>
      </x:c>
      <x:c r="P14" s="42" t="n">
        <x:v>1064</x:v>
      </x:c>
      <x:c r="Q14" s="42"/>
      <x:c r="R14" s="42" t="n">
        <x:v>280</x:v>
      </x:c>
      <x:c r="S14" s="42" t="n">
        <x:v>650</x:v>
      </x:c>
      <x:c r="T14" s="4" t="str">
        <x:v>Y</x:v>
      </x:c>
      <x:c r="U14" s="4" t="str">
        <x:v>Y</x:v>
      </x:c>
      <x:c r="V14" s="14" t="str">
        <x:v>냉동/냉장 탑차</x:v>
      </x:c>
    </x:row>
    <x:row r="15" ht="22" customHeight="1">
      <x:c r="A15" s="4" t="str">
        <x:v>DC01_S07</x:v>
      </x:c>
      <x:c r="B15" s="4" t="str">
        <x:v>DC01</x:v>
      </x:c>
      <x:c r="C15" s="4" t="str">
        <x:v>S07</x:v>
      </x:c>
      <x:c r="D15" s="4" t="str">
        <x:v>DC01</x:v>
      </x:c>
      <x:c r="E15" s="4" t="str">
        <x:v>S07</x:v>
      </x:c>
      <x:c r="F15" s="4" t="str">
        <x:v>서울 서북권 물류센터</x:v>
      </x:c>
      <x:c r="G15" s="4" t="str">
        <x:v>종로점</x:v>
      </x:c>
      <x:c r="H15" s="4" t="str">
        <x:v>DC_TO_STORE</x:v>
      </x:c>
      <x:c r="I15" s="42" t="n">
        <x:v>1.48</x:v>
      </x:c>
      <x:c r="J15" s="42" t="n">
        <x:v>1.48</x:v>
      </x:c>
      <x:c r="K15" s="42"/>
      <x:c r="L15" s="42" t="n">
        <x:v>3.2</x:v>
      </x:c>
      <x:c r="M15" s="42" t="n">
        <x:v>3.2</x:v>
      </x:c>
      <x:c r="N15" s="42" t="n">
        <x:v>3.2</x:v>
      </x:c>
      <x:c r="O15" s="42" t="n">
        <x:v>1064</x:v>
      </x:c>
      <x:c r="P15" s="42" t="n">
        <x:v>1064</x:v>
      </x:c>
      <x:c r="Q15" s="42"/>
      <x:c r="R15" s="42" t="n">
        <x:v>280</x:v>
      </x:c>
      <x:c r="S15" s="42" t="n">
        <x:v>650</x:v>
      </x:c>
      <x:c r="T15" s="4" t="str">
        <x:v>Y</x:v>
      </x:c>
      <x:c r="U15" s="4" t="str">
        <x:v>Y</x:v>
      </x:c>
      <x:c r="V15" s="14" t="str">
        <x:v>냉동/냉장 탑차</x:v>
      </x:c>
    </x:row>
    <x:row r="16" ht="22" customHeight="1">
      <x:c r="A16" s="4" t="str">
        <x:v>S08_DC01</x:v>
      </x:c>
      <x:c r="B16" s="4" t="str">
        <x:v>S08</x:v>
      </x:c>
      <x:c r="C16" s="4" t="str">
        <x:v>DC01</x:v>
      </x:c>
      <x:c r="D16" s="4" t="str">
        <x:v>S08</x:v>
      </x:c>
      <x:c r="E16" s="4" t="str">
        <x:v>DC01</x:v>
      </x:c>
      <x:c r="F16" s="4" t="str">
        <x:v>용산점</x:v>
      </x:c>
      <x:c r="G16" s="4" t="str">
        <x:v>서울 서북권 물류센터</x:v>
      </x:c>
      <x:c r="H16" s="4" t="str">
        <x:v>STORE_TO_DC</x:v>
      </x:c>
      <x:c r="I16" s="42" t="n">
        <x:v>5.52</x:v>
      </x:c>
      <x:c r="J16" s="42" t="n">
        <x:v>5.52</x:v>
      </x:c>
      <x:c r="K16" s="42"/>
      <x:c r="L16" s="42" t="n">
        <x:v>11.8</x:v>
      </x:c>
      <x:c r="M16" s="42" t="n">
        <x:v>11.8</x:v>
      </x:c>
      <x:c r="N16" s="42" t="n">
        <x:v>11.8</x:v>
      </x:c>
      <x:c r="O16" s="42" t="n">
        <x:v>2196</x:v>
      </x:c>
      <x:c r="P16" s="42" t="n">
        <x:v>2196</x:v>
      </x:c>
      <x:c r="Q16" s="42"/>
      <x:c r="R16" s="42" t="n">
        <x:v>280</x:v>
      </x:c>
      <x:c r="S16" s="42" t="n">
        <x:v>650</x:v>
      </x:c>
      <x:c r="T16" s="4" t="str">
        <x:v>Y</x:v>
      </x:c>
      <x:c r="U16" s="4" t="str">
        <x:v>Y</x:v>
      </x:c>
      <x:c r="V16" s="14" t="str">
        <x:v>냉동/냉장 탑차</x:v>
      </x:c>
    </x:row>
    <x:row r="17" ht="22" customHeight="1">
      <x:c r="A17" s="4" t="str">
        <x:v>DC01_S08</x:v>
      </x:c>
      <x:c r="B17" s="4" t="str">
        <x:v>DC01</x:v>
      </x:c>
      <x:c r="C17" s="4" t="str">
        <x:v>S08</x:v>
      </x:c>
      <x:c r="D17" s="4" t="str">
        <x:v>DC01</x:v>
      </x:c>
      <x:c r="E17" s="4" t="str">
        <x:v>S08</x:v>
      </x:c>
      <x:c r="F17" s="4" t="str">
        <x:v>서울 서북권 물류센터</x:v>
      </x:c>
      <x:c r="G17" s="4" t="str">
        <x:v>용산점</x:v>
      </x:c>
      <x:c r="H17" s="4" t="str">
        <x:v>DC_TO_STORE</x:v>
      </x:c>
      <x:c r="I17" s="42" t="n">
        <x:v>5.52</x:v>
      </x:c>
      <x:c r="J17" s="42" t="n">
        <x:v>5.52</x:v>
      </x:c>
      <x:c r="K17" s="42"/>
      <x:c r="L17" s="42" t="n">
        <x:v>11.8</x:v>
      </x:c>
      <x:c r="M17" s="42" t="n">
        <x:v>11.8</x:v>
      </x:c>
      <x:c r="N17" s="42" t="n">
        <x:v>11.8</x:v>
      </x:c>
      <x:c r="O17" s="42" t="n">
        <x:v>2196</x:v>
      </x:c>
      <x:c r="P17" s="42" t="n">
        <x:v>2196</x:v>
      </x:c>
      <x:c r="Q17" s="42"/>
      <x:c r="R17" s="42" t="n">
        <x:v>280</x:v>
      </x:c>
      <x:c r="S17" s="42" t="n">
        <x:v>650</x:v>
      </x:c>
      <x:c r="T17" s="4" t="str">
        <x:v>Y</x:v>
      </x:c>
      <x:c r="U17" s="4" t="str">
        <x:v>Y</x:v>
      </x:c>
      <x:c r="V17" s="14" t="str">
        <x:v>냉동/냉장 탑차</x:v>
      </x:c>
    </x:row>
    <x:row r="18" ht="22" customHeight="1">
      <x:c r="A18" s="4" t="str">
        <x:v>S09_DC01</x:v>
      </x:c>
      <x:c r="B18" s="4" t="str">
        <x:v>S09</x:v>
      </x:c>
      <x:c r="C18" s="4" t="str">
        <x:v>DC01</x:v>
      </x:c>
      <x:c r="D18" s="4" t="str">
        <x:v>S09</x:v>
      </x:c>
      <x:c r="E18" s="4" t="str">
        <x:v>DC01</x:v>
      </x:c>
      <x:c r="F18" s="4" t="str">
        <x:v>상암점</x:v>
      </x:c>
      <x:c r="G18" s="4" t="str">
        <x:v>서울 서북권 물류센터</x:v>
      </x:c>
      <x:c r="H18" s="4" t="str">
        <x:v>STORE_TO_DC</x:v>
      </x:c>
      <x:c r="I18" s="42" t="n">
        <x:v>8.24</x:v>
      </x:c>
      <x:c r="J18" s="42" t="n">
        <x:v>8.24</x:v>
      </x:c>
      <x:c r="K18" s="42"/>
      <x:c r="L18" s="42" t="n">
        <x:v>17.7</x:v>
      </x:c>
      <x:c r="M18" s="42" t="n">
        <x:v>17.7</x:v>
      </x:c>
      <x:c r="N18" s="42" t="n">
        <x:v>17.7</x:v>
      </x:c>
      <x:c r="O18" s="42" t="n">
        <x:v>2957</x:v>
      </x:c>
      <x:c r="P18" s="42" t="n">
        <x:v>2957</x:v>
      </x:c>
      <x:c r="Q18" s="42"/>
      <x:c r="R18" s="42" t="n">
        <x:v>280</x:v>
      </x:c>
      <x:c r="S18" s="42" t="n">
        <x:v>650</x:v>
      </x:c>
      <x:c r="T18" s="4" t="str">
        <x:v>Y</x:v>
      </x:c>
      <x:c r="U18" s="4" t="str">
        <x:v>Y</x:v>
      </x:c>
      <x:c r="V18" s="14" t="str">
        <x:v>냉동/냉장 탑차</x:v>
      </x:c>
    </x:row>
    <x:row r="19" ht="22" customHeight="1">
      <x:c r="A19" s="4" t="str">
        <x:v>DC01_S09</x:v>
      </x:c>
      <x:c r="B19" s="4" t="str">
        <x:v>DC01</x:v>
      </x:c>
      <x:c r="C19" s="4" t="str">
        <x:v>S09</x:v>
      </x:c>
      <x:c r="D19" s="4" t="str">
        <x:v>DC01</x:v>
      </x:c>
      <x:c r="E19" s="4" t="str">
        <x:v>S09</x:v>
      </x:c>
      <x:c r="F19" s="4" t="str">
        <x:v>서울 서북권 물류센터</x:v>
      </x:c>
      <x:c r="G19" s="4" t="str">
        <x:v>상암점</x:v>
      </x:c>
      <x:c r="H19" s="4" t="str">
        <x:v>DC_TO_STORE</x:v>
      </x:c>
      <x:c r="I19" s="42" t="n">
        <x:v>8.24</x:v>
      </x:c>
      <x:c r="J19" s="42" t="n">
        <x:v>8.24</x:v>
      </x:c>
      <x:c r="K19" s="42"/>
      <x:c r="L19" s="42" t="n">
        <x:v>17.7</x:v>
      </x:c>
      <x:c r="M19" s="42" t="n">
        <x:v>17.7</x:v>
      </x:c>
      <x:c r="N19" s="42" t="n">
        <x:v>17.7</x:v>
      </x:c>
      <x:c r="O19" s="42" t="n">
        <x:v>2957</x:v>
      </x:c>
      <x:c r="P19" s="42" t="n">
        <x:v>2957</x:v>
      </x:c>
      <x:c r="Q19" s="42"/>
      <x:c r="R19" s="42" t="n">
        <x:v>280</x:v>
      </x:c>
      <x:c r="S19" s="42" t="n">
        <x:v>650</x:v>
      </x:c>
      <x:c r="T19" s="4" t="str">
        <x:v>Y</x:v>
      </x:c>
      <x:c r="U19" s="4" t="str">
        <x:v>Y</x:v>
      </x:c>
      <x:c r="V19" s="14" t="str">
        <x:v>냉동/냉장 탑차</x:v>
      </x:c>
    </x:row>
    <x:row r="20" ht="22" customHeight="1">
      <x:c r="A20" s="4" t="str">
        <x:v>S10_DC01</x:v>
      </x:c>
      <x:c r="B20" s="4" t="str">
        <x:v>S10</x:v>
      </x:c>
      <x:c r="C20" s="4" t="str">
        <x:v>DC01</x:v>
      </x:c>
      <x:c r="D20" s="4" t="str">
        <x:v>S10</x:v>
      </x:c>
      <x:c r="E20" s="4" t="str">
        <x:v>DC01</x:v>
      </x:c>
      <x:c r="F20" s="4" t="str">
        <x:v>구파발점</x:v>
      </x:c>
      <x:c r="G20" s="4" t="str">
        <x:v>서울 서북권 물류센터</x:v>
      </x:c>
      <x:c r="H20" s="4" t="str">
        <x:v>STORE_TO_DC</x:v>
      </x:c>
      <x:c r="I20" s="42" t="n">
        <x:v>9.76</x:v>
      </x:c>
      <x:c r="J20" s="42" t="n">
        <x:v>9.76</x:v>
      </x:c>
      <x:c r="K20" s="42"/>
      <x:c r="L20" s="42" t="n">
        <x:v>20.9</x:v>
      </x:c>
      <x:c r="M20" s="42" t="n">
        <x:v>20.9</x:v>
      </x:c>
      <x:c r="N20" s="42" t="n">
        <x:v>20.9</x:v>
      </x:c>
      <x:c r="O20" s="42" t="n">
        <x:v>3383</x:v>
      </x:c>
      <x:c r="P20" s="42" t="n">
        <x:v>3383</x:v>
      </x:c>
      <x:c r="Q20" s="42"/>
      <x:c r="R20" s="42" t="n">
        <x:v>280</x:v>
      </x:c>
      <x:c r="S20" s="42" t="n">
        <x:v>650</x:v>
      </x:c>
      <x:c r="T20" s="4" t="str">
        <x:v>Y</x:v>
      </x:c>
      <x:c r="U20" s="4" t="str">
        <x:v>Y</x:v>
      </x:c>
      <x:c r="V20" s="14" t="str">
        <x:v>냉동/냉장 탑차</x:v>
      </x:c>
    </x:row>
    <x:row r="21" ht="22" customHeight="1">
      <x:c r="A21" s="4" t="str">
        <x:v>DC01_S10</x:v>
      </x:c>
      <x:c r="B21" s="4" t="str">
        <x:v>DC01</x:v>
      </x:c>
      <x:c r="C21" s="4" t="str">
        <x:v>S10</x:v>
      </x:c>
      <x:c r="D21" s="4" t="str">
        <x:v>DC01</x:v>
      </x:c>
      <x:c r="E21" s="4" t="str">
        <x:v>S10</x:v>
      </x:c>
      <x:c r="F21" s="4" t="str">
        <x:v>서울 서북권 물류센터</x:v>
      </x:c>
      <x:c r="G21" s="4" t="str">
        <x:v>구파발점</x:v>
      </x:c>
      <x:c r="H21" s="4" t="str">
        <x:v>DC_TO_STORE</x:v>
      </x:c>
      <x:c r="I21" s="42" t="n">
        <x:v>9.76</x:v>
      </x:c>
      <x:c r="J21" s="42" t="n">
        <x:v>9.76</x:v>
      </x:c>
      <x:c r="K21" s="42"/>
      <x:c r="L21" s="42" t="n">
        <x:v>20.9</x:v>
      </x:c>
      <x:c r="M21" s="42" t="n">
        <x:v>20.9</x:v>
      </x:c>
      <x:c r="N21" s="42" t="n">
        <x:v>20.9</x:v>
      </x:c>
      <x:c r="O21" s="42" t="n">
        <x:v>3383</x:v>
      </x:c>
      <x:c r="P21" s="42" t="n">
        <x:v>3383</x:v>
      </x:c>
      <x:c r="Q21" s="42"/>
      <x:c r="R21" s="42" t="n">
        <x:v>280</x:v>
      </x:c>
      <x:c r="S21" s="42" t="n">
        <x:v>650</x:v>
      </x:c>
      <x:c r="T21" s="4" t="str">
        <x:v>Y</x:v>
      </x:c>
      <x:c r="U21" s="4" t="str">
        <x:v>Y</x:v>
      </x:c>
      <x:c r="V21" s="14" t="str">
        <x:v>냉동/냉장 탑차</x:v>
      </x:c>
    </x:row>
    <x:row r="22" ht="22" customHeight="1">
      <x:c r="A22" s="4" t="str">
        <x:v>S01_S02</x:v>
      </x:c>
      <x:c r="B22" s="4" t="str">
        <x:v>S01</x:v>
      </x:c>
      <x:c r="C22" s="4" t="str">
        <x:v>S02</x:v>
      </x:c>
      <x:c r="D22" s="4" t="str">
        <x:v>S01</x:v>
      </x:c>
      <x:c r="E22" s="4" t="str">
        <x:v>S02</x:v>
      </x:c>
      <x:c r="F22" s="4" t="str">
        <x:v>연신내점</x:v>
      </x:c>
      <x:c r="G22" s="4" t="str">
        <x:v>불광점</x:v>
      </x:c>
      <x:c r="H22" s="4" t="str">
        <x:v>STORE_TO_STORE</x:v>
      </x:c>
      <x:c r="I22" s="42" t="n">
        <x:v>1.56</x:v>
      </x:c>
      <x:c r="J22" s="42" t="n">
        <x:v>1.56</x:v>
      </x:c>
      <x:c r="K22" s="42" t="n">
        <x:v>1.56</x:v>
      </x:c>
      <x:c r="L22" s="42" t="n">
        <x:v>2.9</x:v>
      </x:c>
      <x:c r="M22" s="42" t="n">
        <x:v>2.9</x:v>
      </x:c>
      <x:c r="N22" s="42" t="n">
        <x:v>2.9</x:v>
      </x:c>
      <x:c r="O22" s="42" t="n">
        <x:v>2480</x:v>
      </x:c>
      <x:c r="P22" s="42" t="n">
        <x:v>2480</x:v>
      </x:c>
      <x:c r="Q22" s="42" t="n">
        <x:v>2480</x:v>
      </x:c>
      <x:c r="R22" s="42" t="n">
        <x:v>500</x:v>
      </x:c>
      <x:c r="S22" s="42" t="n">
        <x:v>1700</x:v>
      </x:c>
      <x:c r="T22" s="4" t="str">
        <x:v>Y</x:v>
      </x:c>
      <x:c r="U22" s="4" t="str">
        <x:v>Y</x:v>
      </x:c>
      <x:c r="V22" s="14" t="str">
        <x:v>소형 차량</x:v>
      </x:c>
    </x:row>
    <x:row r="23" ht="22" customHeight="1">
      <x:c r="A23" s="4" t="str">
        <x:v>S01_S03</x:v>
      </x:c>
      <x:c r="B23" s="4" t="str">
        <x:v>S01</x:v>
      </x:c>
      <x:c r="C23" s="4" t="str">
        <x:v>S03</x:v>
      </x:c>
      <x:c r="D23" s="4" t="str">
        <x:v>S01</x:v>
      </x:c>
      <x:c r="E23" s="4" t="str">
        <x:v>S03</x:v>
      </x:c>
      <x:c r="F23" s="4" t="str">
        <x:v>연신내점</x:v>
      </x:c>
      <x:c r="G23" s="4" t="str">
        <x:v>응암점</x:v>
      </x:c>
      <x:c r="H23" s="4" t="str">
        <x:v>STORE_TO_STORE</x:v>
      </x:c>
      <x:c r="I23" s="42" t="n">
        <x:v>2.92</x:v>
      </x:c>
      <x:c r="J23" s="42" t="n">
        <x:v>2.92</x:v>
      </x:c>
      <x:c r="K23" s="42" t="n">
        <x:v>2.92</x:v>
      </x:c>
      <x:c r="L23" s="42" t="n">
        <x:v>5.5</x:v>
      </x:c>
      <x:c r="M23" s="42" t="n">
        <x:v>5.5</x:v>
      </x:c>
      <x:c r="N23" s="42" t="n">
        <x:v>5.5</x:v>
      </x:c>
      <x:c r="O23" s="42" t="n">
        <x:v>3160</x:v>
      </x:c>
      <x:c r="P23" s="42" t="n">
        <x:v>3160</x:v>
      </x:c>
      <x:c r="Q23" s="42" t="n">
        <x:v>3160</x:v>
      </x:c>
      <x:c r="R23" s="42" t="n">
        <x:v>500</x:v>
      </x:c>
      <x:c r="S23" s="42" t="n">
        <x:v>1700</x:v>
      </x:c>
      <x:c r="T23" s="4" t="str">
        <x:v>Y</x:v>
      </x:c>
      <x:c r="U23" s="4" t="str">
        <x:v>Y</x:v>
      </x:c>
      <x:c r="V23" s="14" t="str">
        <x:v>소형 차량</x:v>
      </x:c>
    </x:row>
    <x:row r="24" ht="22" customHeight="1">
      <x:c r="A24" s="4" t="str">
        <x:v>S01_S04</x:v>
      </x:c>
      <x:c r="B24" s="4" t="str">
        <x:v>S01</x:v>
      </x:c>
      <x:c r="C24" s="4" t="str">
        <x:v>S04</x:v>
      </x:c>
      <x:c r="D24" s="4" t="str">
        <x:v>S01</x:v>
      </x:c>
      <x:c r="E24" s="4" t="str">
        <x:v>S04</x:v>
      </x:c>
      <x:c r="F24" s="4" t="str">
        <x:v>연신내점</x:v>
      </x:c>
      <x:c r="G24" s="4" t="str">
        <x:v>홍제점</x:v>
      </x:c>
      <x:c r="H24" s="4" t="str">
        <x:v>STORE_TO_STORE</x:v>
      </x:c>
      <x:c r="I24" s="42" t="n">
        <x:v>4.71</x:v>
      </x:c>
      <x:c r="J24" s="42" t="n">
        <x:v>4.71</x:v>
      </x:c>
      <x:c r="K24" s="42" t="n">
        <x:v>4.71</x:v>
      </x:c>
      <x:c r="L24" s="42" t="n">
        <x:v>8.8</x:v>
      </x:c>
      <x:c r="M24" s="42" t="n">
        <x:v>8.8</x:v>
      </x:c>
      <x:c r="N24" s="42" t="n">
        <x:v>8.8</x:v>
      </x:c>
      <x:c r="O24" s="42" t="n">
        <x:v>1748</x:v>
      </x:c>
      <x:c r="P24" s="42" t="n">
        <x:v>1748</x:v>
      </x:c>
      <x:c r="Q24" s="42" t="n">
        <x:v>1748</x:v>
      </x:c>
      <x:c r="R24" s="42" t="n">
        <x:v>500</x:v>
      </x:c>
      <x:c r="S24" s="42" t="n">
        <x:v>1700</x:v>
      </x:c>
      <x:c r="T24" s="4" t="str">
        <x:v>Y</x:v>
      </x:c>
      <x:c r="U24" s="4" t="str">
        <x:v>Y</x:v>
      </x:c>
      <x:c r="V24" s="14" t="str">
        <x:v>소형 차량</x:v>
      </x:c>
    </x:row>
    <x:row r="25" ht="22" customHeight="1">
      <x:c r="A25" s="4" t="str">
        <x:v>S01_S05</x:v>
      </x:c>
      <x:c r="B25" s="4" t="str">
        <x:v>S01</x:v>
      </x:c>
      <x:c r="C25" s="4" t="str">
        <x:v>S05</x:v>
      </x:c>
      <x:c r="D25" s="4" t="str">
        <x:v>S01</x:v>
      </x:c>
      <x:c r="E25" s="4" t="str">
        <x:v>S05</x:v>
      </x:c>
      <x:c r="F25" s="4" t="str">
        <x:v>연신내점</x:v>
      </x:c>
      <x:c r="G25" s="4" t="str">
        <x:v>신촌점</x:v>
      </x:c>
      <x:c r="H25" s="4" t="str">
        <x:v>STORE_TO_STORE</x:v>
      </x:c>
      <x:c r="I25" s="42" t="n">
        <x:v>8.72</x:v>
      </x:c>
      <x:c r="J25" s="42" t="n">
        <x:v>8.72</x:v>
      </x:c>
      <x:c r="K25" s="42" t="n">
        <x:v>8.72</x:v>
      </x:c>
      <x:c r="L25" s="42" t="n">
        <x:v>16.4</x:v>
      </x:c>
      <x:c r="M25" s="42" t="n">
        <x:v>16.4</x:v>
      </x:c>
      <x:c r="N25" s="42" t="n">
        <x:v>16.4</x:v>
      </x:c>
      <x:c r="O25" s="42" t="n">
        <x:v>6060</x:v>
      </x:c>
      <x:c r="P25" s="42" t="n">
        <x:v>6060</x:v>
      </x:c>
      <x:c r="Q25" s="42" t="n">
        <x:v>6060</x:v>
      </x:c>
      <x:c r="R25" s="42" t="n">
        <x:v>500</x:v>
      </x:c>
      <x:c r="S25" s="42" t="n">
        <x:v>1700</x:v>
      </x:c>
      <x:c r="T25" s="4" t="str">
        <x:v>Y</x:v>
      </x:c>
      <x:c r="U25" s="4" t="str">
        <x:v>Y</x:v>
      </x:c>
      <x:c r="V25" s="14" t="str">
        <x:v>트럭</x:v>
      </x:c>
    </x:row>
    <x:row r="26" ht="22" customHeight="1">
      <x:c r="A26" s="4" t="str">
        <x:v>S01_S06</x:v>
      </x:c>
      <x:c r="B26" s="4" t="str">
        <x:v>S01</x:v>
      </x:c>
      <x:c r="C26" s="4" t="str">
        <x:v>S06</x:v>
      </x:c>
      <x:c r="D26" s="4" t="str">
        <x:v>S01</x:v>
      </x:c>
      <x:c r="E26" s="4" t="str">
        <x:v>S06</x:v>
      </x:c>
      <x:c r="F26" s="4" t="str">
        <x:v>연신내점</x:v>
      </x:c>
      <x:c r="G26" s="4" t="str">
        <x:v>마포점</x:v>
      </x:c>
      <x:c r="H26" s="4" t="str">
        <x:v>STORE_TO_STORE</x:v>
      </x:c>
      <x:c r="I26" s="42" t="n">
        <x:v>10.3</x:v>
      </x:c>
      <x:c r="J26" s="42" t="n">
        <x:v>10.3</x:v>
      </x:c>
      <x:c r="K26" s="42" t="n">
        <x:v>10.3</x:v>
      </x:c>
      <x:c r="L26" s="42" t="n">
        <x:v>19.3</x:v>
      </x:c>
      <x:c r="M26" s="42" t="n">
        <x:v>19.3</x:v>
      </x:c>
      <x:c r="N26" s="42" t="n">
        <x:v>19.3</x:v>
      </x:c>
      <x:c r="O26" s="42" t="n">
        <x:v>2754</x:v>
      </x:c>
      <x:c r="P26" s="42" t="n">
        <x:v>2754</x:v>
      </x:c>
      <x:c r="Q26" s="42" t="n">
        <x:v>2754</x:v>
      </x:c>
      <x:c r="R26" s="42" t="n">
        <x:v>500</x:v>
      </x:c>
      <x:c r="S26" s="42" t="n">
        <x:v>1700</x:v>
      </x:c>
      <x:c r="T26" s="4" t="str">
        <x:v>Y</x:v>
      </x:c>
      <x:c r="U26" s="4" t="str">
        <x:v>Y</x:v>
      </x:c>
      <x:c r="V26" s="14" t="str">
        <x:v>트럭</x:v>
      </x:c>
    </x:row>
    <x:row r="27" ht="22" customHeight="1">
      <x:c r="A27" s="4" t="str">
        <x:v>S01_S07</x:v>
      </x:c>
      <x:c r="B27" s="4" t="str">
        <x:v>S01</x:v>
      </x:c>
      <x:c r="C27" s="4" t="str">
        <x:v>S07</x:v>
      </x:c>
      <x:c r="D27" s="4" t="str">
        <x:v>S01</x:v>
      </x:c>
      <x:c r="E27" s="4" t="str">
        <x:v>S07</x:v>
      </x:c>
      <x:c r="F27" s="4" t="str">
        <x:v>연신내점</x:v>
      </x:c>
      <x:c r="G27" s="4" t="str">
        <x:v>종로점</x:v>
      </x:c>
      <x:c r="H27" s="4" t="str">
        <x:v>STORE_TO_STORE</x:v>
      </x:c>
      <x:c r="I27" s="42" t="n">
        <x:v>9.15</x:v>
      </x:c>
      <x:c r="J27" s="42" t="n">
        <x:v>9.15</x:v>
      </x:c>
      <x:c r="K27" s="42" t="n">
        <x:v>9.15</x:v>
      </x:c>
      <x:c r="L27" s="42" t="n">
        <x:v>17.2</x:v>
      </x:c>
      <x:c r="M27" s="42" t="n">
        <x:v>17.2</x:v>
      </x:c>
      <x:c r="N27" s="42" t="n">
        <x:v>17.2</x:v>
      </x:c>
      <x:c r="O27" s="42" t="n">
        <x:v>6275</x:v>
      </x:c>
      <x:c r="P27" s="42" t="n">
        <x:v>6275</x:v>
      </x:c>
      <x:c r="Q27" s="42" t="n">
        <x:v>6275</x:v>
      </x:c>
      <x:c r="R27" s="42" t="n">
        <x:v>500</x:v>
      </x:c>
      <x:c r="S27" s="42" t="n">
        <x:v>1700</x:v>
      </x:c>
      <x:c r="T27" s="4" t="str">
        <x:v>Y</x:v>
      </x:c>
      <x:c r="U27" s="4" t="str">
        <x:v>Y</x:v>
      </x:c>
      <x:c r="V27" s="14" t="str">
        <x:v>트럭</x:v>
      </x:c>
    </x:row>
    <x:row r="28" ht="22" customHeight="1">
      <x:c r="A28" s="4" t="str">
        <x:v>S01_S08</x:v>
      </x:c>
      <x:c r="B28" s="4" t="str">
        <x:v>S01</x:v>
      </x:c>
      <x:c r="C28" s="4" t="str">
        <x:v>S08</x:v>
      </x:c>
      <x:c r="D28" s="4" t="str">
        <x:v>S01</x:v>
      </x:c>
      <x:c r="E28" s="4" t="str">
        <x:v>S08</x:v>
      </x:c>
      <x:c r="F28" s="4" t="str">
        <x:v>연신내점</x:v>
      </x:c>
      <x:c r="G28" s="4" t="str">
        <x:v>용산점</x:v>
      </x:c>
      <x:c r="H28" s="4" t="str">
        <x:v>STORE_TO_STORE</x:v>
      </x:c>
      <x:c r="I28" s="42" t="n">
        <x:v>12.72</x:v>
      </x:c>
      <x:c r="J28" s="42" t="n">
        <x:v>12.72</x:v>
      </x:c>
      <x:c r="K28" s="42" t="n">
        <x:v>12.72</x:v>
      </x:c>
      <x:c r="L28" s="42" t="n">
        <x:v>23.9</x:v>
      </x:c>
      <x:c r="M28" s="42" t="n">
        <x:v>23.9</x:v>
      </x:c>
      <x:c r="N28" s="42" t="n">
        <x:v>23.9</x:v>
      </x:c>
      <x:c r="O28" s="42" t="n">
        <x:v>8060</x:v>
      </x:c>
      <x:c r="P28" s="42" t="n">
        <x:v>8060</x:v>
      </x:c>
      <x:c r="Q28" s="42" t="n">
        <x:v>8060</x:v>
      </x:c>
      <x:c r="R28" s="42" t="n">
        <x:v>500</x:v>
      </x:c>
      <x:c r="S28" s="42" t="n">
        <x:v>1700</x:v>
      </x:c>
      <x:c r="T28" s="4" t="str">
        <x:v>Y</x:v>
      </x:c>
      <x:c r="U28" s="4" t="str">
        <x:v>Y</x:v>
      </x:c>
      <x:c r="V28" s="14" t="str">
        <x:v>트럭</x:v>
      </x:c>
    </x:row>
    <x:row r="29" ht="22" customHeight="1">
      <x:c r="A29" s="4" t="str">
        <x:v>S01_S09</x:v>
      </x:c>
      <x:c r="B29" s="4" t="str">
        <x:v>S01</x:v>
      </x:c>
      <x:c r="C29" s="4" t="str">
        <x:v>S09</x:v>
      </x:c>
      <x:c r="D29" s="4" t="str">
        <x:v>S01</x:v>
      </x:c>
      <x:c r="E29" s="4" t="str">
        <x:v>S09</x:v>
      </x:c>
      <x:c r="F29" s="4" t="str">
        <x:v>연신내점</x:v>
      </x:c>
      <x:c r="G29" s="4" t="str">
        <x:v>상암점</x:v>
      </x:c>
      <x:c r="H29" s="4" t="str">
        <x:v>STORE_TO_STORE</x:v>
      </x:c>
      <x:c r="I29" s="42" t="n">
        <x:v>6.42</x:v>
      </x:c>
      <x:c r="J29" s="42" t="n">
        <x:v>6.42</x:v>
      </x:c>
      <x:c r="K29" s="42" t="n">
        <x:v>6.42</x:v>
      </x:c>
      <x:c r="L29" s="42" t="n">
        <x:v>12</x:v>
      </x:c>
      <x:c r="M29" s="42" t="n">
        <x:v>12</x:v>
      </x:c>
      <x:c r="N29" s="42" t="n">
        <x:v>12</x:v>
      </x:c>
      <x:c r="O29" s="42" t="n">
        <x:v>4910</x:v>
      </x:c>
      <x:c r="P29" s="42" t="n">
        <x:v>4910</x:v>
      </x:c>
      <x:c r="Q29" s="42" t="n">
        <x:v>4910</x:v>
      </x:c>
      <x:c r="R29" s="42" t="n">
        <x:v>500</x:v>
      </x:c>
      <x:c r="S29" s="42" t="n">
        <x:v>1700</x:v>
      </x:c>
      <x:c r="T29" s="4" t="str">
        <x:v>Y</x:v>
      </x:c>
      <x:c r="U29" s="4" t="str">
        <x:v>Y</x:v>
      </x:c>
      <x:c r="V29" s="14" t="str">
        <x:v>소형 차량</x:v>
      </x:c>
    </x:row>
    <x:row r="30" ht="22" customHeight="1">
      <x:c r="A30" s="4" t="str">
        <x:v>S01_S10</x:v>
      </x:c>
      <x:c r="B30" s="4" t="str">
        <x:v>S01</x:v>
      </x:c>
      <x:c r="C30" s="4" t="str">
        <x:v>S10</x:v>
      </x:c>
      <x:c r="D30" s="4" t="str">
        <x:v>S01</x:v>
      </x:c>
      <x:c r="E30" s="4" t="str">
        <x:v>S10</x:v>
      </x:c>
      <x:c r="F30" s="4" t="str">
        <x:v>연신내점</x:v>
      </x:c>
      <x:c r="G30" s="4" t="str">
        <x:v>구파발점</x:v>
      </x:c>
      <x:c r="H30" s="4" t="str">
        <x:v>STORE_TO_STORE</x:v>
      </x:c>
      <x:c r="I30" s="42" t="n">
        <x:v>2.46</x:v>
      </x:c>
      <x:c r="J30" s="42" t="n">
        <x:v>2.46</x:v>
      </x:c>
      <x:c r="K30" s="42" t="n">
        <x:v>2.46</x:v>
      </x:c>
      <x:c r="L30" s="42" t="n">
        <x:v>4.6</x:v>
      </x:c>
      <x:c r="M30" s="42" t="n">
        <x:v>4.6</x:v>
      </x:c>
      <x:c r="N30" s="42" t="n">
        <x:v>4.6</x:v>
      </x:c>
      <x:c r="O30" s="42" t="n">
        <x:v>2930</x:v>
      </x:c>
      <x:c r="P30" s="42" t="n">
        <x:v>2930</x:v>
      </x:c>
      <x:c r="Q30" s="42" t="n">
        <x:v>2930</x:v>
      </x:c>
      <x:c r="R30" s="42" t="n">
        <x:v>500</x:v>
      </x:c>
      <x:c r="S30" s="42" t="n">
        <x:v>1700</x:v>
      </x:c>
      <x:c r="T30" s="4" t="str">
        <x:v>Y</x:v>
      </x:c>
      <x:c r="U30" s="4" t="str">
        <x:v>Y</x:v>
      </x:c>
      <x:c r="V30" s="14" t="str">
        <x:v>소형 차량</x:v>
      </x:c>
    </x:row>
    <x:row r="31" ht="22" customHeight="1">
      <x:c r="A31" s="4" t="str">
        <x:v>S02_S01</x:v>
      </x:c>
      <x:c r="B31" s="4" t="str">
        <x:v>S02</x:v>
      </x:c>
      <x:c r="C31" s="4" t="str">
        <x:v>S01</x:v>
      </x:c>
      <x:c r="D31" s="4" t="str">
        <x:v>S02</x:v>
      </x:c>
      <x:c r="E31" s="4" t="str">
        <x:v>S01</x:v>
      </x:c>
      <x:c r="F31" s="4" t="str">
        <x:v>불광점</x:v>
      </x:c>
      <x:c r="G31" s="4" t="str">
        <x:v>연신내점</x:v>
      </x:c>
      <x:c r="H31" s="4" t="str">
        <x:v>STORE_TO_STORE</x:v>
      </x:c>
      <x:c r="I31" s="42" t="n">
        <x:v>1.56</x:v>
      </x:c>
      <x:c r="J31" s="42" t="n">
        <x:v>1.56</x:v>
      </x:c>
      <x:c r="K31" s="42" t="n">
        <x:v>1.56</x:v>
      </x:c>
      <x:c r="L31" s="42" t="n">
        <x:v>2.9</x:v>
      </x:c>
      <x:c r="M31" s="42" t="n">
        <x:v>2.9</x:v>
      </x:c>
      <x:c r="N31" s="42" t="n">
        <x:v>2.9</x:v>
      </x:c>
      <x:c r="O31" s="42" t="n">
        <x:v>2480</x:v>
      </x:c>
      <x:c r="P31" s="42" t="n">
        <x:v>2480</x:v>
      </x:c>
      <x:c r="Q31" s="42" t="n">
        <x:v>2480</x:v>
      </x:c>
      <x:c r="R31" s="42" t="n">
        <x:v>500</x:v>
      </x:c>
      <x:c r="S31" s="42" t="n">
        <x:v>1700</x:v>
      </x:c>
      <x:c r="T31" s="4" t="str">
        <x:v>Y</x:v>
      </x:c>
      <x:c r="U31" s="4" t="str">
        <x:v>Y</x:v>
      </x:c>
      <x:c r="V31" s="14" t="str">
        <x:v>소형 차량</x:v>
      </x:c>
    </x:row>
    <x:row r="32" ht="22" customHeight="1">
      <x:c r="A32" s="4" t="str">
        <x:v>S02_S03</x:v>
      </x:c>
      <x:c r="B32" s="4" t="str">
        <x:v>S02</x:v>
      </x:c>
      <x:c r="C32" s="4" t="str">
        <x:v>S03</x:v>
      </x:c>
      <x:c r="D32" s="4" t="str">
        <x:v>S02</x:v>
      </x:c>
      <x:c r="E32" s="4" t="str">
        <x:v>S03</x:v>
      </x:c>
      <x:c r="F32" s="4" t="str">
        <x:v>불광점</x:v>
      </x:c>
      <x:c r="G32" s="4" t="str">
        <x:v>응암점</x:v>
      </x:c>
      <x:c r="H32" s="4" t="str">
        <x:v>STORE_TO_STORE</x:v>
      </x:c>
      <x:c r="I32" s="42" t="n">
        <x:v>2.29</x:v>
      </x:c>
      <x:c r="J32" s="42" t="n">
        <x:v>2.29</x:v>
      </x:c>
      <x:c r="K32" s="42" t="n">
        <x:v>2.29</x:v>
      </x:c>
      <x:c r="L32" s="42" t="n">
        <x:v>4.3</x:v>
      </x:c>
      <x:c r="M32" s="42" t="n">
        <x:v>4.3</x:v>
      </x:c>
      <x:c r="N32" s="42" t="n">
        <x:v>4.3</x:v>
      </x:c>
      <x:c r="O32" s="42" t="n">
        <x:v>2845</x:v>
      </x:c>
      <x:c r="P32" s="42" t="n">
        <x:v>2845</x:v>
      </x:c>
      <x:c r="Q32" s="42" t="n">
        <x:v>2845</x:v>
      </x:c>
      <x:c r="R32" s="42" t="n">
        <x:v>500</x:v>
      </x:c>
      <x:c r="S32" s="42" t="n">
        <x:v>1700</x:v>
      </x:c>
      <x:c r="T32" s="4" t="str">
        <x:v>Y</x:v>
      </x:c>
      <x:c r="U32" s="4" t="str">
        <x:v>Y</x:v>
      </x:c>
      <x:c r="V32" s="14" t="str">
        <x:v>소형 차량</x:v>
      </x:c>
    </x:row>
    <x:row r="33" ht="22" customHeight="1">
      <x:c r="A33" s="4" t="str">
        <x:v>S02_S04</x:v>
      </x:c>
      <x:c r="B33" s="4" t="str">
        <x:v>S02</x:v>
      </x:c>
      <x:c r="C33" s="4" t="str">
        <x:v>S04</x:v>
      </x:c>
      <x:c r="D33" s="4" t="str">
        <x:v>S02</x:v>
      </x:c>
      <x:c r="E33" s="4" t="str">
        <x:v>S04</x:v>
      </x:c>
      <x:c r="F33" s="4" t="str">
        <x:v>불광점</x:v>
      </x:c>
      <x:c r="G33" s="4" t="str">
        <x:v>홍제점</x:v>
      </x:c>
      <x:c r="H33" s="4" t="str">
        <x:v>STORE_TO_STORE</x:v>
      </x:c>
      <x:c r="I33" s="42" t="n">
        <x:v>3.17</x:v>
      </x:c>
      <x:c r="J33" s="42" t="n">
        <x:v>3.17</x:v>
      </x:c>
      <x:c r="K33" s="42" t="n">
        <x:v>3.17</x:v>
      </x:c>
      <x:c r="L33" s="42" t="n">
        <x:v>5.9</x:v>
      </x:c>
      <x:c r="M33" s="42" t="n">
        <x:v>5.9</x:v>
      </x:c>
      <x:c r="N33" s="42" t="n">
        <x:v>5.9</x:v>
      </x:c>
      <x:c r="O33" s="42" t="n">
        <x:v>3285</x:v>
      </x:c>
      <x:c r="P33" s="42" t="n">
        <x:v>3285</x:v>
      </x:c>
      <x:c r="Q33" s="42" t="n">
        <x:v>3285</x:v>
      </x:c>
      <x:c r="R33" s="42" t="n">
        <x:v>500</x:v>
      </x:c>
      <x:c r="S33" s="42" t="n">
        <x:v>1700</x:v>
      </x:c>
      <x:c r="T33" s="4" t="str">
        <x:v>Y</x:v>
      </x:c>
      <x:c r="U33" s="4" t="str">
        <x:v>Y</x:v>
      </x:c>
      <x:c r="V33" s="14" t="str">
        <x:v>소형 차량</x:v>
      </x:c>
    </x:row>
    <x:row r="34" ht="22" customHeight="1">
      <x:c r="A34" s="4" t="str">
        <x:v>S02_S05</x:v>
      </x:c>
      <x:c r="B34" s="4" t="str">
        <x:v>S02</x:v>
      </x:c>
      <x:c r="C34" s="4" t="str">
        <x:v>S05</x:v>
      </x:c>
      <x:c r="D34" s="4" t="str">
        <x:v>S02</x:v>
      </x:c>
      <x:c r="E34" s="4" t="str">
        <x:v>S05</x:v>
      </x:c>
      <x:c r="F34" s="4" t="str">
        <x:v>불광점</x:v>
      </x:c>
      <x:c r="G34" s="4" t="str">
        <x:v>신촌점</x:v>
      </x:c>
      <x:c r="H34" s="4" t="str">
        <x:v>STORE_TO_STORE</x:v>
      </x:c>
      <x:c r="I34" s="42" t="n">
        <x:v>7.36</x:v>
      </x:c>
      <x:c r="J34" s="42" t="n">
        <x:v>7.36</x:v>
      </x:c>
      <x:c r="K34" s="42" t="n">
        <x:v>7.36</x:v>
      </x:c>
      <x:c r="L34" s="42" t="n">
        <x:v>13.8</x:v>
      </x:c>
      <x:c r="M34" s="42" t="n">
        <x:v>13.8</x:v>
      </x:c>
      <x:c r="N34" s="42" t="n">
        <x:v>13.8</x:v>
      </x:c>
      <x:c r="O34" s="42" t="n">
        <x:v>5380</x:v>
      </x:c>
      <x:c r="P34" s="42" t="n">
        <x:v>5380</x:v>
      </x:c>
      <x:c r="Q34" s="42" t="n">
        <x:v>5380</x:v>
      </x:c>
      <x:c r="R34" s="42" t="n">
        <x:v>500</x:v>
      </x:c>
      <x:c r="S34" s="42" t="n">
        <x:v>1700</x:v>
      </x:c>
      <x:c r="T34" s="4" t="str">
        <x:v>Y</x:v>
      </x:c>
      <x:c r="U34" s="4" t="str">
        <x:v>Y</x:v>
      </x:c>
      <x:c r="V34" s="14" t="str">
        <x:v>소형 차량</x:v>
      </x:c>
    </x:row>
    <x:row r="35" ht="22" customHeight="1">
      <x:c r="A35" s="4" t="str">
        <x:v>S02_S06</x:v>
      </x:c>
      <x:c r="B35" s="4" t="str">
        <x:v>S02</x:v>
      </x:c>
      <x:c r="C35" s="4" t="str">
        <x:v>S06</x:v>
      </x:c>
      <x:c r="D35" s="4" t="str">
        <x:v>S02</x:v>
      </x:c>
      <x:c r="E35" s="4" t="str">
        <x:v>S06</x:v>
      </x:c>
      <x:c r="F35" s="4" t="str">
        <x:v>불광점</x:v>
      </x:c>
      <x:c r="G35" s="4" t="str">
        <x:v>마포점</x:v>
      </x:c>
      <x:c r="H35" s="4" t="str">
        <x:v>STORE_TO_STORE</x:v>
      </x:c>
      <x:c r="I35" s="42" t="n">
        <x:v>8.83</x:v>
      </x:c>
      <x:c r="J35" s="42" t="n">
        <x:v>8.83</x:v>
      </x:c>
      <x:c r="K35" s="42" t="n">
        <x:v>8.83</x:v>
      </x:c>
      <x:c r="L35" s="42" t="n">
        <x:v>16.6</x:v>
      </x:c>
      <x:c r="M35" s="42" t="n">
        <x:v>16.6</x:v>
      </x:c>
      <x:c r="N35" s="42" t="n">
        <x:v>16.6</x:v>
      </x:c>
      <x:c r="O35" s="42" t="n">
        <x:v>6115</x:v>
      </x:c>
      <x:c r="P35" s="42" t="n">
        <x:v>6115</x:v>
      </x:c>
      <x:c r="Q35" s="42" t="n">
        <x:v>6115</x:v>
      </x:c>
      <x:c r="R35" s="42" t="n">
        <x:v>500</x:v>
      </x:c>
      <x:c r="S35" s="42" t="n">
        <x:v>1700</x:v>
      </x:c>
      <x:c r="T35" s="4" t="str">
        <x:v>Y</x:v>
      </x:c>
      <x:c r="U35" s="4" t="str">
        <x:v>Y</x:v>
      </x:c>
      <x:c r="V35" s="14" t="str">
        <x:v>트럭</x:v>
      </x:c>
    </x:row>
    <x:row r="36" ht="22" customHeight="1">
      <x:c r="A36" s="4" t="str">
        <x:v>S02_S07</x:v>
      </x:c>
      <x:c r="B36" s="4" t="str">
        <x:v>S02</x:v>
      </x:c>
      <x:c r="C36" s="4" t="str">
        <x:v>S07</x:v>
      </x:c>
      <x:c r="D36" s="4" t="str">
        <x:v>S02</x:v>
      </x:c>
      <x:c r="E36" s="4" t="str">
        <x:v>S07</x:v>
      </x:c>
      <x:c r="F36" s="4" t="str">
        <x:v>불광점</x:v>
      </x:c>
      <x:c r="G36" s="4" t="str">
        <x:v>종로점</x:v>
      </x:c>
      <x:c r="H36" s="4" t="str">
        <x:v>STORE_TO_STORE</x:v>
      </x:c>
      <x:c r="I36" s="42" t="n">
        <x:v>7.6</x:v>
      </x:c>
      <x:c r="J36" s="42" t="n">
        <x:v>7.6</x:v>
      </x:c>
      <x:c r="K36" s="42" t="n">
        <x:v>7.6</x:v>
      </x:c>
      <x:c r="L36" s="42" t="n">
        <x:v>14.2</x:v>
      </x:c>
      <x:c r="M36" s="42" t="n">
        <x:v>14.2</x:v>
      </x:c>
      <x:c r="N36" s="42" t="n">
        <x:v>14.2</x:v>
      </x:c>
      <x:c r="O36" s="42" t="n">
        <x:v>10140</x:v>
      </x:c>
      <x:c r="P36" s="42" t="n">
        <x:v>10140</x:v>
      </x:c>
      <x:c r="Q36" s="42" t="n">
        <x:v>10140</x:v>
      </x:c>
      <x:c r="R36" s="42" t="n">
        <x:v>500</x:v>
      </x:c>
      <x:c r="S36" s="42" t="n">
        <x:v>1700</x:v>
      </x:c>
      <x:c r="T36" s="4" t="str">
        <x:v>Y</x:v>
      </x:c>
      <x:c r="U36" s="4" t="str">
        <x:v>Y</x:v>
      </x:c>
      <x:c r="V36" s="14" t="str">
        <x:v>소형 차량</x:v>
      </x:c>
    </x:row>
    <x:row r="37" ht="22" customHeight="1">
      <x:c r="A37" s="4" t="str">
        <x:v>S02_S08</x:v>
      </x:c>
      <x:c r="B37" s="4" t="str">
        <x:v>S02</x:v>
      </x:c>
      <x:c r="C37" s="4" t="str">
        <x:v>S08</x:v>
      </x:c>
      <x:c r="D37" s="4" t="str">
        <x:v>S02</x:v>
      </x:c>
      <x:c r="E37" s="4" t="str">
        <x:v>S08</x:v>
      </x:c>
      <x:c r="F37" s="4" t="str">
        <x:v>불광점</x:v>
      </x:c>
      <x:c r="G37" s="4" t="str">
        <x:v>용산점</x:v>
      </x:c>
      <x:c r="H37" s="4" t="str">
        <x:v>STORE_TO_STORE</x:v>
      </x:c>
      <x:c r="I37" s="42" t="n">
        <x:v>11.23</x:v>
      </x:c>
      <x:c r="J37" s="42" t="n">
        <x:v>11.23</x:v>
      </x:c>
      <x:c r="K37" s="42" t="n">
        <x:v>11.23</x:v>
      </x:c>
      <x:c r="L37" s="42" t="n">
        <x:v>21.1</x:v>
      </x:c>
      <x:c r="M37" s="42" t="n">
        <x:v>21.1</x:v>
      </x:c>
      <x:c r="N37" s="42" t="n">
        <x:v>21.1</x:v>
      </x:c>
      <x:c r="O37" s="42" t="n">
        <x:v>7315</x:v>
      </x:c>
      <x:c r="P37" s="42" t="n">
        <x:v>7315</x:v>
      </x:c>
      <x:c r="Q37" s="42" t="n">
        <x:v>7315</x:v>
      </x:c>
      <x:c r="R37" s="42" t="n">
        <x:v>500</x:v>
      </x:c>
      <x:c r="S37" s="42" t="n">
        <x:v>1700</x:v>
      </x:c>
      <x:c r="T37" s="4" t="str">
        <x:v>Y</x:v>
      </x:c>
      <x:c r="U37" s="4" t="str">
        <x:v>Y</x:v>
      </x:c>
      <x:c r="V37" s="14" t="str">
        <x:v>트럭</x:v>
      </x:c>
    </x:row>
    <x:row r="38" ht="22" customHeight="1">
      <x:c r="A38" s="4" t="str">
        <x:v>S02_S09</x:v>
      </x:c>
      <x:c r="B38" s="4" t="str">
        <x:v>S02</x:v>
      </x:c>
      <x:c r="C38" s="4" t="str">
        <x:v>S09</x:v>
      </x:c>
      <x:c r="D38" s="4" t="str">
        <x:v>S02</x:v>
      </x:c>
      <x:c r="E38" s="4" t="str">
        <x:v>S09</x:v>
      </x:c>
      <x:c r="F38" s="4" t="str">
        <x:v>불광점</x:v>
      </x:c>
      <x:c r="G38" s="4" t="str">
        <x:v>상암점</x:v>
      </x:c>
      <x:c r="H38" s="4" t="str">
        <x:v>STORE_TO_STORE</x:v>
      </x:c>
      <x:c r="I38" s="42" t="n">
        <x:v>6.09</x:v>
      </x:c>
      <x:c r="J38" s="42" t="n">
        <x:v>6.09</x:v>
      </x:c>
      <x:c r="K38" s="42" t="n">
        <x:v>6.09</x:v>
      </x:c>
      <x:c r="L38" s="42" t="n">
        <x:v>11.4</x:v>
      </x:c>
      <x:c r="M38" s="42" t="n">
        <x:v>11.4</x:v>
      </x:c>
      <x:c r="N38" s="42" t="n">
        <x:v>11.4</x:v>
      </x:c>
      <x:c r="O38" s="42" t="n">
        <x:v>4745</x:v>
      </x:c>
      <x:c r="P38" s="42" t="n">
        <x:v>4745</x:v>
      </x:c>
      <x:c r="Q38" s="42" t="n">
        <x:v>4745</x:v>
      </x:c>
      <x:c r="R38" s="42" t="n">
        <x:v>500</x:v>
      </x:c>
      <x:c r="S38" s="42" t="n">
        <x:v>1700</x:v>
      </x:c>
      <x:c r="T38" s="4" t="str">
        <x:v>Y</x:v>
      </x:c>
      <x:c r="U38" s="4" t="str">
        <x:v>Y</x:v>
      </x:c>
      <x:c r="V38" s="14" t="str">
        <x:v>소형 차량</x:v>
      </x:c>
    </x:row>
    <x:row r="39" ht="22" customHeight="1">
      <x:c r="A39" s="4" t="str">
        <x:v>S02_S10</x:v>
      </x:c>
      <x:c r="B39" s="4" t="str">
        <x:v>S02</x:v>
      </x:c>
      <x:c r="C39" s="4" t="str">
        <x:v>S10</x:v>
      </x:c>
      <x:c r="D39" s="4" t="str">
        <x:v>S02</x:v>
      </x:c>
      <x:c r="E39" s="4" t="str">
        <x:v>S10</x:v>
      </x:c>
      <x:c r="F39" s="4" t="str">
        <x:v>불광점</x:v>
      </x:c>
      <x:c r="G39" s="4" t="str">
        <x:v>구파발점</x:v>
      </x:c>
      <x:c r="H39" s="4" t="str">
        <x:v>STORE_TO_STORE</x:v>
      </x:c>
      <x:c r="I39" s="42" t="n">
        <x:v>3.88</x:v>
      </x:c>
      <x:c r="J39" s="42" t="n">
        <x:v>3.88</x:v>
      </x:c>
      <x:c r="K39" s="42" t="n">
        <x:v>3.88</x:v>
      </x:c>
      <x:c r="L39" s="42" t="n">
        <x:v>7.3</x:v>
      </x:c>
      <x:c r="M39" s="42" t="n">
        <x:v>7.3</x:v>
      </x:c>
      <x:c r="N39" s="42" t="n">
        <x:v>7.3</x:v>
      </x:c>
      <x:c r="O39" s="42" t="n">
        <x:v>7722</x:v>
      </x:c>
      <x:c r="P39" s="42" t="n">
        <x:v>7722</x:v>
      </x:c>
      <x:c r="Q39" s="42" t="n">
        <x:v>7722</x:v>
      </x:c>
      <x:c r="R39" s="42" t="n">
        <x:v>500</x:v>
      </x:c>
      <x:c r="S39" s="42" t="n">
        <x:v>1700</x:v>
      </x:c>
      <x:c r="T39" s="4" t="str">
        <x:v>Y</x:v>
      </x:c>
      <x:c r="U39" s="4" t="str">
        <x:v>Y</x:v>
      </x:c>
      <x:c r="V39" s="14" t="str">
        <x:v>소형 차량</x:v>
      </x:c>
    </x:row>
    <x:row r="40" ht="22" customHeight="1">
      <x:c r="A40" s="4" t="str">
        <x:v>S03_S01</x:v>
      </x:c>
      <x:c r="B40" s="4" t="str">
        <x:v>S03</x:v>
      </x:c>
      <x:c r="C40" s="4" t="str">
        <x:v>S01</x:v>
      </x:c>
      <x:c r="D40" s="4" t="str">
        <x:v>S03</x:v>
      </x:c>
      <x:c r="E40" s="4" t="str">
        <x:v>S01</x:v>
      </x:c>
      <x:c r="F40" s="4" t="str">
        <x:v>응암점</x:v>
      </x:c>
      <x:c r="G40" s="4" t="str">
        <x:v>연신내점</x:v>
      </x:c>
      <x:c r="H40" s="4" t="str">
        <x:v>STORE_TO_STORE</x:v>
      </x:c>
      <x:c r="I40" s="42" t="n">
        <x:v>2.92</x:v>
      </x:c>
      <x:c r="J40" s="42" t="n">
        <x:v>2.92</x:v>
      </x:c>
      <x:c r="K40" s="42" t="n">
        <x:v>2.92</x:v>
      </x:c>
      <x:c r="L40" s="42" t="n">
        <x:v>5.5</x:v>
      </x:c>
      <x:c r="M40" s="42" t="n">
        <x:v>5.5</x:v>
      </x:c>
      <x:c r="N40" s="42" t="n">
        <x:v>5.5</x:v>
      </x:c>
      <x:c r="O40" s="42" t="n">
        <x:v>3160</x:v>
      </x:c>
      <x:c r="P40" s="42" t="n">
        <x:v>3160</x:v>
      </x:c>
      <x:c r="Q40" s="42" t="n">
        <x:v>3160</x:v>
      </x:c>
      <x:c r="R40" s="42" t="n">
        <x:v>500</x:v>
      </x:c>
      <x:c r="S40" s="42" t="n">
        <x:v>1700</x:v>
      </x:c>
      <x:c r="T40" s="4" t="str">
        <x:v>Y</x:v>
      </x:c>
      <x:c r="U40" s="4" t="str">
        <x:v>Y</x:v>
      </x:c>
      <x:c r="V40" s="14" t="str">
        <x:v>소형 차량</x:v>
      </x:c>
    </x:row>
    <x:row r="41" ht="22" customHeight="1">
      <x:c r="A41" s="4" t="str">
        <x:v>S03_S02</x:v>
      </x:c>
      <x:c r="B41" s="4" t="str">
        <x:v>S03</x:v>
      </x:c>
      <x:c r="C41" s="4" t="str">
        <x:v>S02</x:v>
      </x:c>
      <x:c r="D41" s="4" t="str">
        <x:v>S03</x:v>
      </x:c>
      <x:c r="E41" s="4" t="str">
        <x:v>S02</x:v>
      </x:c>
      <x:c r="F41" s="4" t="str">
        <x:v>응암점</x:v>
      </x:c>
      <x:c r="G41" s="4" t="str">
        <x:v>불광점</x:v>
      </x:c>
      <x:c r="H41" s="4" t="str">
        <x:v>STORE_TO_STORE</x:v>
      </x:c>
      <x:c r="I41" s="42" t="n">
        <x:v>2.29</x:v>
      </x:c>
      <x:c r="J41" s="42" t="n">
        <x:v>2.29</x:v>
      </x:c>
      <x:c r="K41" s="42" t="n">
        <x:v>2.29</x:v>
      </x:c>
      <x:c r="L41" s="42" t="n">
        <x:v>4.3</x:v>
      </x:c>
      <x:c r="M41" s="42" t="n">
        <x:v>4.3</x:v>
      </x:c>
      <x:c r="N41" s="42" t="n">
        <x:v>4.3</x:v>
      </x:c>
      <x:c r="O41" s="42" t="n">
        <x:v>2845</x:v>
      </x:c>
      <x:c r="P41" s="42" t="n">
        <x:v>2845</x:v>
      </x:c>
      <x:c r="Q41" s="42" t="n">
        <x:v>2845</x:v>
      </x:c>
      <x:c r="R41" s="42" t="n">
        <x:v>500</x:v>
      </x:c>
      <x:c r="S41" s="42" t="n">
        <x:v>1700</x:v>
      </x:c>
      <x:c r="T41" s="4" t="str">
        <x:v>Y</x:v>
      </x:c>
      <x:c r="U41" s="4" t="str">
        <x:v>Y</x:v>
      </x:c>
      <x:c r="V41" s="14" t="str">
        <x:v>소형 차량</x:v>
      </x:c>
    </x:row>
    <x:row r="42" ht="22" customHeight="1">
      <x:c r="A42" s="4" t="str">
        <x:v>S03_S04</x:v>
      </x:c>
      <x:c r="B42" s="4" t="str">
        <x:v>S03</x:v>
      </x:c>
      <x:c r="C42" s="4" t="str">
        <x:v>S04</x:v>
      </x:c>
      <x:c r="D42" s="4" t="str">
        <x:v>S03</x:v>
      </x:c>
      <x:c r="E42" s="4" t="str">
        <x:v>S04</x:v>
      </x:c>
      <x:c r="F42" s="4" t="str">
        <x:v>응암점</x:v>
      </x:c>
      <x:c r="G42" s="4" t="str">
        <x:v>홍제점</x:v>
      </x:c>
      <x:c r="H42" s="4" t="str">
        <x:v>STORE_TO_STORE</x:v>
      </x:c>
      <x:c r="I42" s="42" t="n">
        <x:v>3.25</x:v>
      </x:c>
      <x:c r="J42" s="42" t="n">
        <x:v>3.25</x:v>
      </x:c>
      <x:c r="K42" s="42" t="n">
        <x:v>3.25</x:v>
      </x:c>
      <x:c r="L42" s="42" t="n">
        <x:v>6.1</x:v>
      </x:c>
      <x:c r="M42" s="42" t="n">
        <x:v>6.1</x:v>
      </x:c>
      <x:c r="N42" s="42" t="n">
        <x:v>6.1</x:v>
      </x:c>
      <x:c r="O42" s="42" t="n">
        <x:v>3325</x:v>
      </x:c>
      <x:c r="P42" s="42" t="n">
        <x:v>3325</x:v>
      </x:c>
      <x:c r="Q42" s="42" t="n">
        <x:v>3325</x:v>
      </x:c>
      <x:c r="R42" s="42" t="n">
        <x:v>500</x:v>
      </x:c>
      <x:c r="S42" s="42" t="n">
        <x:v>1700</x:v>
      </x:c>
      <x:c r="T42" s="4" t="str">
        <x:v>Y</x:v>
      </x:c>
      <x:c r="U42" s="4" t="str">
        <x:v>Y</x:v>
      </x:c>
      <x:c r="V42" s="14" t="str">
        <x:v>소형 차량</x:v>
      </x:c>
    </x:row>
    <x:row r="43" ht="22" customHeight="1">
      <x:c r="A43" s="4" t="str">
        <x:v>S03_S05</x:v>
      </x:c>
      <x:c r="B43" s="4" t="str">
        <x:v>S03</x:v>
      </x:c>
      <x:c r="C43" s="4" t="str">
        <x:v>S05</x:v>
      </x:c>
      <x:c r="D43" s="4" t="str">
        <x:v>S03</x:v>
      </x:c>
      <x:c r="E43" s="4" t="str">
        <x:v>S05</x:v>
      </x:c>
      <x:c r="F43" s="4" t="str">
        <x:v>응암점</x:v>
      </x:c>
      <x:c r="G43" s="4" t="str">
        <x:v>신촌점</x:v>
      </x:c>
      <x:c r="H43" s="4" t="str">
        <x:v>STORE_TO_STORE</x:v>
      </x:c>
      <x:c r="I43" s="42" t="n">
        <x:v>6.17</x:v>
      </x:c>
      <x:c r="J43" s="42" t="n">
        <x:v>6.17</x:v>
      </x:c>
      <x:c r="K43" s="42" t="n">
        <x:v>6.17</x:v>
      </x:c>
      <x:c r="L43" s="42" t="n">
        <x:v>11.6</x:v>
      </x:c>
      <x:c r="M43" s="42" t="n">
        <x:v>11.6</x:v>
      </x:c>
      <x:c r="N43" s="42" t="n">
        <x:v>11.6</x:v>
      </x:c>
      <x:c r="O43" s="42" t="n">
        <x:v>4785</x:v>
      </x:c>
      <x:c r="P43" s="42" t="n">
        <x:v>4785</x:v>
      </x:c>
      <x:c r="Q43" s="42" t="n">
        <x:v>4785</x:v>
      </x:c>
      <x:c r="R43" s="42" t="n">
        <x:v>500</x:v>
      </x:c>
      <x:c r="S43" s="42" t="n">
        <x:v>1700</x:v>
      </x:c>
      <x:c r="T43" s="4" t="str">
        <x:v>Y</x:v>
      </x:c>
      <x:c r="U43" s="4" t="str">
        <x:v>Y</x:v>
      </x:c>
      <x:c r="V43" s="14" t="str">
        <x:v>소형 차량</x:v>
      </x:c>
    </x:row>
    <x:row r="44" ht="22" customHeight="1">
      <x:c r="A44" s="4" t="str">
        <x:v>S03_S06</x:v>
      </x:c>
      <x:c r="B44" s="4" t="str">
        <x:v>S03</x:v>
      </x:c>
      <x:c r="C44" s="4" t="str">
        <x:v>S06</x:v>
      </x:c>
      <x:c r="D44" s="4" t="str">
        <x:v>S03</x:v>
      </x:c>
      <x:c r="E44" s="4" t="str">
        <x:v>S06</x:v>
      </x:c>
      <x:c r="F44" s="4" t="str">
        <x:v>응암점</x:v>
      </x:c>
      <x:c r="G44" s="4" t="str">
        <x:v>마포점</x:v>
      </x:c>
      <x:c r="H44" s="4" t="str">
        <x:v>STORE_TO_STORE</x:v>
      </x:c>
      <x:c r="I44" s="42" t="n">
        <x:v>8.03</x:v>
      </x:c>
      <x:c r="J44" s="42" t="n">
        <x:v>8.03</x:v>
      </x:c>
      <x:c r="K44" s="42" t="n">
        <x:v>8.03</x:v>
      </x:c>
      <x:c r="L44" s="42" t="n">
        <x:v>15.1</x:v>
      </x:c>
      <x:c r="M44" s="42" t="n">
        <x:v>15.1</x:v>
      </x:c>
      <x:c r="N44" s="42" t="n">
        <x:v>15.1</x:v>
      </x:c>
      <x:c r="O44" s="42" t="n">
        <x:v>2345</x:v>
      </x:c>
      <x:c r="P44" s="42" t="n">
        <x:v>2345</x:v>
      </x:c>
      <x:c r="Q44" s="42" t="n">
        <x:v>2345</x:v>
      </x:c>
      <x:c r="R44" s="42" t="n">
        <x:v>500</x:v>
      </x:c>
      <x:c r="S44" s="42" t="n">
        <x:v>1700</x:v>
      </x:c>
      <x:c r="T44" s="4" t="str">
        <x:v>Y</x:v>
      </x:c>
      <x:c r="U44" s="4" t="str">
        <x:v>Y</x:v>
      </x:c>
      <x:c r="V44" s="14" t="str">
        <x:v>트럭</x:v>
      </x:c>
    </x:row>
    <x:row r="45" ht="22" customHeight="1">
      <x:c r="A45" s="4" t="str">
        <x:v>S03_S07</x:v>
      </x:c>
      <x:c r="B45" s="4" t="str">
        <x:v>S03</x:v>
      </x:c>
      <x:c r="C45" s="4" t="str">
        <x:v>S07</x:v>
      </x:c>
      <x:c r="D45" s="4" t="str">
        <x:v>S03</x:v>
      </x:c>
      <x:c r="E45" s="4" t="str">
        <x:v>S07</x:v>
      </x:c>
      <x:c r="F45" s="4" t="str">
        <x:v>응암점</x:v>
      </x:c>
      <x:c r="G45" s="4" t="str">
        <x:v>종로점</x:v>
      </x:c>
      <x:c r="H45" s="4" t="str">
        <x:v>STORE_TO_STORE</x:v>
      </x:c>
      <x:c r="I45" s="42" t="n">
        <x:v>8.02</x:v>
      </x:c>
      <x:c r="J45" s="42" t="n">
        <x:v>8.02</x:v>
      </x:c>
      <x:c r="K45" s="42" t="n">
        <x:v>8.02</x:v>
      </x:c>
      <x:c r="L45" s="42" t="n">
        <x:v>15</x:v>
      </x:c>
      <x:c r="M45" s="42" t="n">
        <x:v>15</x:v>
      </x:c>
      <x:c r="N45" s="42" t="n">
        <x:v>15</x:v>
      </x:c>
      <x:c r="O45" s="42" t="n">
        <x:v>5710</x:v>
      </x:c>
      <x:c r="P45" s="42" t="n">
        <x:v>5710</x:v>
      </x:c>
      <x:c r="Q45" s="42" t="n">
        <x:v>5710</x:v>
      </x:c>
      <x:c r="R45" s="42" t="n">
        <x:v>500</x:v>
      </x:c>
      <x:c r="S45" s="42" t="n">
        <x:v>1700</x:v>
      </x:c>
      <x:c r="T45" s="4" t="str">
        <x:v>Y</x:v>
      </x:c>
      <x:c r="U45" s="4" t="str">
        <x:v>Y</x:v>
      </x:c>
      <x:c r="V45" s="14" t="str">
        <x:v>트럭</x:v>
      </x:c>
    </x:row>
    <x:row r="46" ht="22" customHeight="1">
      <x:c r="A46" s="4" t="str">
        <x:v>S03_S08</x:v>
      </x:c>
      <x:c r="B46" s="4" t="str">
        <x:v>S03</x:v>
      </x:c>
      <x:c r="C46" s="4" t="str">
        <x:v>S08</x:v>
      </x:c>
      <x:c r="D46" s="4" t="str">
        <x:v>S03</x:v>
      </x:c>
      <x:c r="E46" s="4" t="str">
        <x:v>S08</x:v>
      </x:c>
      <x:c r="F46" s="4" t="str">
        <x:v>응암점</x:v>
      </x:c>
      <x:c r="G46" s="4" t="str">
        <x:v>용산점</x:v>
      </x:c>
      <x:c r="H46" s="4" t="str">
        <x:v>STORE_TO_STORE</x:v>
      </x:c>
      <x:c r="I46" s="42" t="n">
        <x:v>10.44</x:v>
      </x:c>
      <x:c r="J46" s="42" t="n">
        <x:v>10.44</x:v>
      </x:c>
      <x:c r="K46" s="42" t="n">
        <x:v>10.44</x:v>
      </x:c>
      <x:c r="L46" s="42" t="n">
        <x:v>19.6</x:v>
      </x:c>
      <x:c r="M46" s="42" t="n">
        <x:v>19.6</x:v>
      </x:c>
      <x:c r="N46" s="42" t="n">
        <x:v>19.6</x:v>
      </x:c>
      <x:c r="O46" s="42" t="n">
        <x:v>6920</x:v>
      </x:c>
      <x:c r="P46" s="42" t="n">
        <x:v>6920</x:v>
      </x:c>
      <x:c r="Q46" s="42" t="n">
        <x:v>6920</x:v>
      </x:c>
      <x:c r="R46" s="42" t="n">
        <x:v>500</x:v>
      </x:c>
      <x:c r="S46" s="42" t="n">
        <x:v>1700</x:v>
      </x:c>
      <x:c r="T46" s="4" t="str">
        <x:v>Y</x:v>
      </x:c>
      <x:c r="U46" s="4" t="str">
        <x:v>Y</x:v>
      </x:c>
      <x:c r="V46" s="14" t="str">
        <x:v>트럭</x:v>
      </x:c>
    </x:row>
    <x:row r="47" ht="22" customHeight="1">
      <x:c r="A47" s="4" t="str">
        <x:v>S03_S09</x:v>
      </x:c>
      <x:c r="B47" s="4" t="str">
        <x:v>S03</x:v>
      </x:c>
      <x:c r="C47" s="4" t="str">
        <x:v>S09</x:v>
      </x:c>
      <x:c r="D47" s="4" t="str">
        <x:v>S03</x:v>
      </x:c>
      <x:c r="E47" s="4" t="str">
        <x:v>S09</x:v>
      </x:c>
      <x:c r="F47" s="4" t="str">
        <x:v>응암점</x:v>
      </x:c>
      <x:c r="G47" s="4" t="str">
        <x:v>상암점</x:v>
      </x:c>
      <x:c r="H47" s="4" t="str">
        <x:v>STORE_TO_STORE</x:v>
      </x:c>
      <x:c r="I47" s="42" t="n">
        <x:v>3.8</x:v>
      </x:c>
      <x:c r="J47" s="42" t="n">
        <x:v>3.8</x:v>
      </x:c>
      <x:c r="K47" s="42" t="n">
        <x:v>3.8</x:v>
      </x:c>
      <x:c r="L47" s="42" t="n">
        <x:v>7.1</x:v>
      </x:c>
      <x:c r="M47" s="42" t="n">
        <x:v>7.1</x:v>
      </x:c>
      <x:c r="N47" s="42" t="n">
        <x:v>7.1</x:v>
      </x:c>
      <x:c r="O47" s="42" t="n">
        <x:v>3600</x:v>
      </x:c>
      <x:c r="P47" s="42" t="n">
        <x:v>3600</x:v>
      </x:c>
      <x:c r="Q47" s="42" t="n">
        <x:v>3600</x:v>
      </x:c>
      <x:c r="R47" s="42" t="n">
        <x:v>500</x:v>
      </x:c>
      <x:c r="S47" s="42" t="n">
        <x:v>1700</x:v>
      </x:c>
      <x:c r="T47" s="4" t="str">
        <x:v>Y</x:v>
      </x:c>
      <x:c r="U47" s="4" t="str">
        <x:v>Y</x:v>
      </x:c>
      <x:c r="V47" s="14" t="str">
        <x:v>소형 차량</x:v>
      </x:c>
    </x:row>
    <x:row r="48" ht="22" customHeight="1">
      <x:c r="A48" s="4" t="str">
        <x:v>S03_S10</x:v>
      </x:c>
      <x:c r="B48" s="4" t="str">
        <x:v>S03</x:v>
      </x:c>
      <x:c r="C48" s="4" t="str">
        <x:v>S10</x:v>
      </x:c>
      <x:c r="D48" s="4" t="str">
        <x:v>S03</x:v>
      </x:c>
      <x:c r="E48" s="4" t="str">
        <x:v>S10</x:v>
      </x:c>
      <x:c r="F48" s="4" t="str">
        <x:v>응암점</x:v>
      </x:c>
      <x:c r="G48" s="4" t="str">
        <x:v>구파발점</x:v>
      </x:c>
      <x:c r="H48" s="4" t="str">
        <x:v>STORE_TO_STORE</x:v>
      </x:c>
      <x:c r="I48" s="42" t="n">
        <x:v>5.3</x:v>
      </x:c>
      <x:c r="J48" s="42" t="n">
        <x:v>5.3</x:v>
      </x:c>
      <x:c r="K48" s="42" t="n">
        <x:v>5.3</x:v>
      </x:c>
      <x:c r="L48" s="42" t="n">
        <x:v>9.9</x:v>
      </x:c>
      <x:c r="M48" s="42" t="n">
        <x:v>9.9</x:v>
      </x:c>
      <x:c r="N48" s="42" t="n">
        <x:v>9.9</x:v>
      </x:c>
      <x:c r="O48" s="42" t="n">
        <x:v>4350</x:v>
      </x:c>
      <x:c r="P48" s="42" t="n">
        <x:v>4350</x:v>
      </x:c>
      <x:c r="Q48" s="42" t="n">
        <x:v>4350</x:v>
      </x:c>
      <x:c r="R48" s="42" t="n">
        <x:v>500</x:v>
      </x:c>
      <x:c r="S48" s="42" t="n">
        <x:v>1700</x:v>
      </x:c>
      <x:c r="T48" s="4" t="str">
        <x:v>Y</x:v>
      </x:c>
      <x:c r="U48" s="4" t="str">
        <x:v>Y</x:v>
      </x:c>
      <x:c r="V48" s="14" t="str">
        <x:v>소형 차량</x:v>
      </x:c>
    </x:row>
    <x:row r="49" ht="22" customHeight="1">
      <x:c r="A49" s="4" t="str">
        <x:v>S04_S01</x:v>
      </x:c>
      <x:c r="B49" s="4" t="str">
        <x:v>S04</x:v>
      </x:c>
      <x:c r="C49" s="4" t="str">
        <x:v>S01</x:v>
      </x:c>
      <x:c r="D49" s="4" t="str">
        <x:v>S04</x:v>
      </x:c>
      <x:c r="E49" s="4" t="str">
        <x:v>S01</x:v>
      </x:c>
      <x:c r="F49" s="4" t="str">
        <x:v>홍제점</x:v>
      </x:c>
      <x:c r="G49" s="4" t="str">
        <x:v>연신내점</x:v>
      </x:c>
      <x:c r="H49" s="4" t="str">
        <x:v>STORE_TO_STORE</x:v>
      </x:c>
      <x:c r="I49" s="42" t="n">
        <x:v>4.71</x:v>
      </x:c>
      <x:c r="J49" s="42" t="n">
        <x:v>4.71</x:v>
      </x:c>
      <x:c r="K49" s="42" t="n">
        <x:v>4.71</x:v>
      </x:c>
      <x:c r="L49" s="42" t="n">
        <x:v>8.8</x:v>
      </x:c>
      <x:c r="M49" s="42" t="n">
        <x:v>8.8</x:v>
      </x:c>
      <x:c r="N49" s="42" t="n">
        <x:v>8.8</x:v>
      </x:c>
      <x:c r="O49" s="42" t="n">
        <x:v>1748</x:v>
      </x:c>
      <x:c r="P49" s="42" t="n">
        <x:v>1748</x:v>
      </x:c>
      <x:c r="Q49" s="42" t="n">
        <x:v>1748</x:v>
      </x:c>
      <x:c r="R49" s="42" t="n">
        <x:v>500</x:v>
      </x:c>
      <x:c r="S49" s="42" t="n">
        <x:v>1700</x:v>
      </x:c>
      <x:c r="T49" s="4" t="str">
        <x:v>Y</x:v>
      </x:c>
      <x:c r="U49" s="4" t="str">
        <x:v>Y</x:v>
      </x:c>
      <x:c r="V49" s="14" t="str">
        <x:v>소형 차량</x:v>
      </x:c>
    </x:row>
    <x:row r="50" ht="22" customHeight="1">
      <x:c r="A50" s="4" t="str">
        <x:v>S04_S02</x:v>
      </x:c>
      <x:c r="B50" s="4" t="str">
        <x:v>S04</x:v>
      </x:c>
      <x:c r="C50" s="4" t="str">
        <x:v>S02</x:v>
      </x:c>
      <x:c r="D50" s="4" t="str">
        <x:v>S04</x:v>
      </x:c>
      <x:c r="E50" s="4" t="str">
        <x:v>S02</x:v>
      </x:c>
      <x:c r="F50" s="4" t="str">
        <x:v>홍제점</x:v>
      </x:c>
      <x:c r="G50" s="4" t="str">
        <x:v>불광점</x:v>
      </x:c>
      <x:c r="H50" s="4" t="str">
        <x:v>STORE_TO_STORE</x:v>
      </x:c>
      <x:c r="I50" s="42" t="n">
        <x:v>3.17</x:v>
      </x:c>
      <x:c r="J50" s="42" t="n">
        <x:v>3.17</x:v>
      </x:c>
      <x:c r="K50" s="42" t="n">
        <x:v>3.17</x:v>
      </x:c>
      <x:c r="L50" s="42" t="n">
        <x:v>5.9</x:v>
      </x:c>
      <x:c r="M50" s="42" t="n">
        <x:v>5.9</x:v>
      </x:c>
      <x:c r="N50" s="42" t="n">
        <x:v>5.9</x:v>
      </x:c>
      <x:c r="O50" s="42" t="n">
        <x:v>3285</x:v>
      </x:c>
      <x:c r="P50" s="42" t="n">
        <x:v>3285</x:v>
      </x:c>
      <x:c r="Q50" s="42" t="n">
        <x:v>3285</x:v>
      </x:c>
      <x:c r="R50" s="42" t="n">
        <x:v>500</x:v>
      </x:c>
      <x:c r="S50" s="42" t="n">
        <x:v>1700</x:v>
      </x:c>
      <x:c r="T50" s="4" t="str">
        <x:v>Y</x:v>
      </x:c>
      <x:c r="U50" s="4" t="str">
        <x:v>Y</x:v>
      </x:c>
      <x:c r="V50" s="14" t="str">
        <x:v>소형 차량</x:v>
      </x:c>
    </x:row>
    <x:row r="51" ht="22" customHeight="1">
      <x:c r="A51" s="4" t="str">
        <x:v>S04_S03</x:v>
      </x:c>
      <x:c r="B51" s="4" t="str">
        <x:v>S04</x:v>
      </x:c>
      <x:c r="C51" s="4" t="str">
        <x:v>S03</x:v>
      </x:c>
      <x:c r="D51" s="4" t="str">
        <x:v>S04</x:v>
      </x:c>
      <x:c r="E51" s="4" t="str">
        <x:v>S03</x:v>
      </x:c>
      <x:c r="F51" s="4" t="str">
        <x:v>홍제점</x:v>
      </x:c>
      <x:c r="G51" s="4" t="str">
        <x:v>응암점</x:v>
      </x:c>
      <x:c r="H51" s="4" t="str">
        <x:v>STORE_TO_STORE</x:v>
      </x:c>
      <x:c r="I51" s="42" t="n">
        <x:v>3.25</x:v>
      </x:c>
      <x:c r="J51" s="42" t="n">
        <x:v>3.25</x:v>
      </x:c>
      <x:c r="K51" s="42" t="n">
        <x:v>3.25</x:v>
      </x:c>
      <x:c r="L51" s="42" t="n">
        <x:v>6.1</x:v>
      </x:c>
      <x:c r="M51" s="42" t="n">
        <x:v>6.1</x:v>
      </x:c>
      <x:c r="N51" s="42" t="n">
        <x:v>6.1</x:v>
      </x:c>
      <x:c r="O51" s="42" t="n">
        <x:v>3325</x:v>
      </x:c>
      <x:c r="P51" s="42" t="n">
        <x:v>3325</x:v>
      </x:c>
      <x:c r="Q51" s="42" t="n">
        <x:v>3325</x:v>
      </x:c>
      <x:c r="R51" s="42" t="n">
        <x:v>500</x:v>
      </x:c>
      <x:c r="S51" s="42" t="n">
        <x:v>1700</x:v>
      </x:c>
      <x:c r="T51" s="4" t="str">
        <x:v>Y</x:v>
      </x:c>
      <x:c r="U51" s="4" t="str">
        <x:v>Y</x:v>
      </x:c>
      <x:c r="V51" s="14" t="str">
        <x:v>소형 차량</x:v>
      </x:c>
    </x:row>
    <x:row r="52" ht="22" customHeight="1">
      <x:c r="A52" s="4" t="str">
        <x:v>S04_S05</x:v>
      </x:c>
      <x:c r="B52" s="4" t="str">
        <x:v>S04</x:v>
      </x:c>
      <x:c r="C52" s="4" t="str">
        <x:v>S05</x:v>
      </x:c>
      <x:c r="D52" s="4" t="str">
        <x:v>S04</x:v>
      </x:c>
      <x:c r="E52" s="4" t="str">
        <x:v>S05</x:v>
      </x:c>
      <x:c r="F52" s="4" t="str">
        <x:v>홍제점</x:v>
      </x:c>
      <x:c r="G52" s="4" t="str">
        <x:v>신촌점</x:v>
      </x:c>
      <x:c r="H52" s="4" t="str">
        <x:v>STORE_TO_STORE</x:v>
      </x:c>
      <x:c r="I52" s="42" t="n">
        <x:v>4.52</x:v>
      </x:c>
      <x:c r="J52" s="42" t="n">
        <x:v>4.52</x:v>
      </x:c>
      <x:c r="K52" s="42" t="n">
        <x:v>4.52</x:v>
      </x:c>
      <x:c r="L52" s="42" t="n">
        <x:v>8.5</x:v>
      </x:c>
      <x:c r="M52" s="42" t="n">
        <x:v>8.5</x:v>
      </x:c>
      <x:c r="N52" s="42" t="n">
        <x:v>8.5</x:v>
      </x:c>
      <x:c r="O52" s="42" t="n">
        <x:v>1714</x:v>
      </x:c>
      <x:c r="P52" s="42" t="n">
        <x:v>1714</x:v>
      </x:c>
      <x:c r="Q52" s="42" t="n">
        <x:v>1714</x:v>
      </x:c>
      <x:c r="R52" s="42" t="n">
        <x:v>500</x:v>
      </x:c>
      <x:c r="S52" s="42" t="n">
        <x:v>1700</x:v>
      </x:c>
      <x:c r="T52" s="4" t="str">
        <x:v>Y</x:v>
      </x:c>
      <x:c r="U52" s="4" t="str">
        <x:v>Y</x:v>
      </x:c>
      <x:c r="V52" s="14" t="str">
        <x:v>소형 차량</x:v>
      </x:c>
    </x:row>
    <x:row r="53" ht="22" customHeight="1">
      <x:c r="A53" s="4" t="str">
        <x:v>S04_S06</x:v>
      </x:c>
      <x:c r="B53" s="4" t="str">
        <x:v>S04</x:v>
      </x:c>
      <x:c r="C53" s="4" t="str">
        <x:v>S06</x:v>
      </x:c>
      <x:c r="D53" s="4" t="str">
        <x:v>S04</x:v>
      </x:c>
      <x:c r="E53" s="4" t="str">
        <x:v>S06</x:v>
      </x:c>
      <x:c r="F53" s="4" t="str">
        <x:v>홍제점</x:v>
      </x:c>
      <x:c r="G53" s="4" t="str">
        <x:v>마포점</x:v>
      </x:c>
      <x:c r="H53" s="4" t="str">
        <x:v>STORE_TO_STORE</x:v>
      </x:c>
      <x:c r="I53" s="42" t="n">
        <x:v>5.71</x:v>
      </x:c>
      <x:c r="J53" s="42" t="n">
        <x:v>5.71</x:v>
      </x:c>
      <x:c r="K53" s="42" t="n">
        <x:v>5.71</x:v>
      </x:c>
      <x:c r="L53" s="42" t="n">
        <x:v>10.7</x:v>
      </x:c>
      <x:c r="M53" s="42" t="n">
        <x:v>10.7</x:v>
      </x:c>
      <x:c r="N53" s="42" t="n">
        <x:v>10.7</x:v>
      </x:c>
      <x:c r="O53" s="42" t="n">
        <x:v>4555</x:v>
      </x:c>
      <x:c r="P53" s="42" t="n">
        <x:v>4555</x:v>
      </x:c>
      <x:c r="Q53" s="42" t="n">
        <x:v>4555</x:v>
      </x:c>
      <x:c r="R53" s="42" t="n">
        <x:v>500</x:v>
      </x:c>
      <x:c r="S53" s="42" t="n">
        <x:v>1700</x:v>
      </x:c>
      <x:c r="T53" s="4" t="str">
        <x:v>Y</x:v>
      </x:c>
      <x:c r="U53" s="4" t="str">
        <x:v>Y</x:v>
      </x:c>
      <x:c r="V53" s="14" t="str">
        <x:v>소형 차량</x:v>
      </x:c>
    </x:row>
    <x:row r="54" ht="22" customHeight="1">
      <x:c r="A54" s="4" t="str">
        <x:v>S04_S07</x:v>
      </x:c>
      <x:c r="B54" s="4" t="str">
        <x:v>S04</x:v>
      </x:c>
      <x:c r="C54" s="4" t="str">
        <x:v>S07</x:v>
      </x:c>
      <x:c r="D54" s="4" t="str">
        <x:v>S04</x:v>
      </x:c>
      <x:c r="E54" s="4" t="str">
        <x:v>S07</x:v>
      </x:c>
      <x:c r="F54" s="4" t="str">
        <x:v>홍제점</x:v>
      </x:c>
      <x:c r="G54" s="4" t="str">
        <x:v>종로점</x:v>
      </x:c>
      <x:c r="H54" s="4" t="str">
        <x:v>STORE_TO_STORE</x:v>
      </x:c>
      <x:c r="I54" s="42" t="n">
        <x:v>4.79</x:v>
      </x:c>
      <x:c r="J54" s="42" t="n">
        <x:v>4.79</x:v>
      </x:c>
      <x:c r="K54" s="42" t="n">
        <x:v>4.79</x:v>
      </x:c>
      <x:c r="L54" s="42" t="n">
        <x:v>9</x:v>
      </x:c>
      <x:c r="M54" s="42" t="n">
        <x:v>9</x:v>
      </x:c>
      <x:c r="N54" s="42" t="n">
        <x:v>9</x:v>
      </x:c>
      <x:c r="O54" s="42" t="n">
        <x:v>4095</x:v>
      </x:c>
      <x:c r="P54" s="42" t="n">
        <x:v>4095</x:v>
      </x:c>
      <x:c r="Q54" s="42" t="n">
        <x:v>4095</x:v>
      </x:c>
      <x:c r="R54" s="42" t="n">
        <x:v>500</x:v>
      </x:c>
      <x:c r="S54" s="42" t="n">
        <x:v>1700</x:v>
      </x:c>
      <x:c r="T54" s="4" t="str">
        <x:v>Y</x:v>
      </x:c>
      <x:c r="U54" s="4" t="str">
        <x:v>Y</x:v>
      </x:c>
      <x:c r="V54" s="14" t="str">
        <x:v>소형 차량</x:v>
      </x:c>
    </x:row>
    <x:row r="55" ht="22" customHeight="1">
      <x:c r="A55" s="4" t="str">
        <x:v>S04_S08</x:v>
      </x:c>
      <x:c r="B55" s="4" t="str">
        <x:v>S04</x:v>
      </x:c>
      <x:c r="C55" s="4" t="str">
        <x:v>S08</x:v>
      </x:c>
      <x:c r="D55" s="4" t="str">
        <x:v>S04</x:v>
      </x:c>
      <x:c r="E55" s="4" t="str">
        <x:v>S08</x:v>
      </x:c>
      <x:c r="F55" s="4" t="str">
        <x:v>홍제점</x:v>
      </x:c>
      <x:c r="G55" s="4" t="str">
        <x:v>용산점</x:v>
      </x:c>
      <x:c r="H55" s="4" t="str">
        <x:v>STORE_TO_STORE</x:v>
      </x:c>
      <x:c r="I55" s="42" t="n">
        <x:v>8.09</x:v>
      </x:c>
      <x:c r="J55" s="42" t="n">
        <x:v>8.09</x:v>
      </x:c>
      <x:c r="K55" s="42" t="n">
        <x:v>8.09</x:v>
      </x:c>
      <x:c r="L55" s="42" t="n">
        <x:v>15.2</x:v>
      </x:c>
      <x:c r="M55" s="42" t="n">
        <x:v>15.2</x:v>
      </x:c>
      <x:c r="N55" s="42" t="n">
        <x:v>15.2</x:v>
      </x:c>
      <x:c r="O55" s="42" t="n">
        <x:v>5745</x:v>
      </x:c>
      <x:c r="P55" s="42" t="n">
        <x:v>5745</x:v>
      </x:c>
      <x:c r="Q55" s="42" t="n">
        <x:v>5745</x:v>
      </x:c>
      <x:c r="R55" s="42" t="n">
        <x:v>500</x:v>
      </x:c>
      <x:c r="S55" s="42" t="n">
        <x:v>1700</x:v>
      </x:c>
      <x:c r="T55" s="4" t="str">
        <x:v>Y</x:v>
      </x:c>
      <x:c r="U55" s="4" t="str">
        <x:v>Y</x:v>
      </x:c>
      <x:c r="V55" s="14" t="str">
        <x:v>트럭</x:v>
      </x:c>
    </x:row>
    <x:row r="56" ht="22" customHeight="1">
      <x:c r="A56" s="4" t="str">
        <x:v>S04_S09</x:v>
      </x:c>
      <x:c r="B56" s="4" t="str">
        <x:v>S04</x:v>
      </x:c>
      <x:c r="C56" s="4" t="str">
        <x:v>S09</x:v>
      </x:c>
      <x:c r="D56" s="4" t="str">
        <x:v>S04</x:v>
      </x:c>
      <x:c r="E56" s="4" t="str">
        <x:v>S09</x:v>
      </x:c>
      <x:c r="F56" s="4" t="str">
        <x:v>홍제점</x:v>
      </x:c>
      <x:c r="G56" s="4" t="str">
        <x:v>상암점</x:v>
      </x:c>
      <x:c r="H56" s="4" t="str">
        <x:v>STORE_TO_STORE</x:v>
      </x:c>
      <x:c r="I56" s="42" t="n">
        <x:v>5.96</x:v>
      </x:c>
      <x:c r="J56" s="42" t="n">
        <x:v>5.96</x:v>
      </x:c>
      <x:c r="K56" s="42" t="n">
        <x:v>5.96</x:v>
      </x:c>
      <x:c r="L56" s="42" t="n">
        <x:v>11.2</x:v>
      </x:c>
      <x:c r="M56" s="42" t="n">
        <x:v>11.2</x:v>
      </x:c>
      <x:c r="N56" s="42" t="n">
        <x:v>11.2</x:v>
      </x:c>
      <x:c r="O56" s="42" t="n">
        <x:v>4680</x:v>
      </x:c>
      <x:c r="P56" s="42" t="n">
        <x:v>4680</x:v>
      </x:c>
      <x:c r="Q56" s="42" t="n">
        <x:v>4680</x:v>
      </x:c>
      <x:c r="R56" s="42" t="n">
        <x:v>500</x:v>
      </x:c>
      <x:c r="S56" s="42" t="n">
        <x:v>1700</x:v>
      </x:c>
      <x:c r="T56" s="4" t="str">
        <x:v>Y</x:v>
      </x:c>
      <x:c r="U56" s="4" t="str">
        <x:v>Y</x:v>
      </x:c>
      <x:c r="V56" s="14" t="str">
        <x:v>소형 차량</x:v>
      </x:c>
    </x:row>
    <x:row r="57" ht="22" customHeight="1">
      <x:c r="A57" s="4" t="str">
        <x:v>S04_S10</x:v>
      </x:c>
      <x:c r="B57" s="4" t="str">
        <x:v>S04</x:v>
      </x:c>
      <x:c r="C57" s="4" t="str">
        <x:v>S10</x:v>
      </x:c>
      <x:c r="D57" s="4" t="str">
        <x:v>S04</x:v>
      </x:c>
      <x:c r="E57" s="4" t="str">
        <x:v>S10</x:v>
      </x:c>
      <x:c r="F57" s="4" t="str">
        <x:v>홍제점</x:v>
      </x:c>
      <x:c r="G57" s="4" t="str">
        <x:v>구파발점</x:v>
      </x:c>
      <x:c r="H57" s="4" t="str">
        <x:v>STORE_TO_STORE</x:v>
      </x:c>
      <x:c r="I57" s="42" t="n">
        <x:v>7.04</x:v>
      </x:c>
      <x:c r="J57" s="42" t="n">
        <x:v>7.04</x:v>
      </x:c>
      <x:c r="K57" s="42" t="n">
        <x:v>7.04</x:v>
      </x:c>
      <x:c r="L57" s="42" t="n">
        <x:v>13.2</x:v>
      </x:c>
      <x:c r="M57" s="42" t="n">
        <x:v>13.2</x:v>
      </x:c>
      <x:c r="N57" s="42" t="n">
        <x:v>13.2</x:v>
      </x:c>
      <x:c r="O57" s="42" t="n">
        <x:v>5220</x:v>
      </x:c>
      <x:c r="P57" s="42" t="n">
        <x:v>5220</x:v>
      </x:c>
      <x:c r="Q57" s="42" t="n">
        <x:v>5220</x:v>
      </x:c>
      <x:c r="R57" s="42" t="n">
        <x:v>500</x:v>
      </x:c>
      <x:c r="S57" s="42" t="n">
        <x:v>1700</x:v>
      </x:c>
      <x:c r="T57" s="4" t="str">
        <x:v>Y</x:v>
      </x:c>
      <x:c r="U57" s="4" t="str">
        <x:v>Y</x:v>
      </x:c>
      <x:c r="V57" s="14" t="str">
        <x:v>소형 차량</x:v>
      </x:c>
    </x:row>
    <x:row r="58" ht="22" customHeight="1">
      <x:c r="A58" s="4" t="str">
        <x:v>S05_S01</x:v>
      </x:c>
      <x:c r="B58" s="4" t="str">
        <x:v>S05</x:v>
      </x:c>
      <x:c r="C58" s="4" t="str">
        <x:v>S01</x:v>
      </x:c>
      <x:c r="D58" s="4" t="str">
        <x:v>S05</x:v>
      </x:c>
      <x:c r="E58" s="4" t="str">
        <x:v>S01</x:v>
      </x:c>
      <x:c r="F58" s="4" t="str">
        <x:v>신촌점</x:v>
      </x:c>
      <x:c r="G58" s="4" t="str">
        <x:v>연신내점</x:v>
      </x:c>
      <x:c r="H58" s="4" t="str">
        <x:v>STORE_TO_STORE</x:v>
      </x:c>
      <x:c r="I58" s="42" t="n">
        <x:v>8.72</x:v>
      </x:c>
      <x:c r="J58" s="42" t="n">
        <x:v>8.72</x:v>
      </x:c>
      <x:c r="K58" s="42" t="n">
        <x:v>8.72</x:v>
      </x:c>
      <x:c r="L58" s="42" t="n">
        <x:v>16.4</x:v>
      </x:c>
      <x:c r="M58" s="42" t="n">
        <x:v>16.4</x:v>
      </x:c>
      <x:c r="N58" s="42" t="n">
        <x:v>16.4</x:v>
      </x:c>
      <x:c r="O58" s="42" t="n">
        <x:v>6060</x:v>
      </x:c>
      <x:c r="P58" s="42" t="n">
        <x:v>6060</x:v>
      </x:c>
      <x:c r="Q58" s="42" t="n">
        <x:v>6060</x:v>
      </x:c>
      <x:c r="R58" s="42" t="n">
        <x:v>500</x:v>
      </x:c>
      <x:c r="S58" s="42" t="n">
        <x:v>1700</x:v>
      </x:c>
      <x:c r="T58" s="4" t="str">
        <x:v>Y</x:v>
      </x:c>
      <x:c r="U58" s="4" t="str">
        <x:v>Y</x:v>
      </x:c>
      <x:c r="V58" s="14" t="str">
        <x:v>트럭</x:v>
      </x:c>
    </x:row>
    <x:row r="59" ht="22" customHeight="1">
      <x:c r="A59" s="4" t="str">
        <x:v>S05_S02</x:v>
      </x:c>
      <x:c r="B59" s="4" t="str">
        <x:v>S05</x:v>
      </x:c>
      <x:c r="C59" s="4" t="str">
        <x:v>S02</x:v>
      </x:c>
      <x:c r="D59" s="4" t="str">
        <x:v>S05</x:v>
      </x:c>
      <x:c r="E59" s="4" t="str">
        <x:v>S02</x:v>
      </x:c>
      <x:c r="F59" s="4" t="str">
        <x:v>신촌점</x:v>
      </x:c>
      <x:c r="G59" s="4" t="str">
        <x:v>불광점</x:v>
      </x:c>
      <x:c r="H59" s="4" t="str">
        <x:v>STORE_TO_STORE</x:v>
      </x:c>
      <x:c r="I59" s="42" t="n">
        <x:v>7.36</x:v>
      </x:c>
      <x:c r="J59" s="42" t="n">
        <x:v>7.36</x:v>
      </x:c>
      <x:c r="K59" s="42" t="n">
        <x:v>7.36</x:v>
      </x:c>
      <x:c r="L59" s="42" t="n">
        <x:v>13.8</x:v>
      </x:c>
      <x:c r="M59" s="42" t="n">
        <x:v>13.8</x:v>
      </x:c>
      <x:c r="N59" s="42" t="n">
        <x:v>13.8</x:v>
      </x:c>
      <x:c r="O59" s="42" t="n">
        <x:v>5380</x:v>
      </x:c>
      <x:c r="P59" s="42" t="n">
        <x:v>5380</x:v>
      </x:c>
      <x:c r="Q59" s="42" t="n">
        <x:v>5380</x:v>
      </x:c>
      <x:c r="R59" s="42" t="n">
        <x:v>500</x:v>
      </x:c>
      <x:c r="S59" s="42" t="n">
        <x:v>1700</x:v>
      </x:c>
      <x:c r="T59" s="4" t="str">
        <x:v>Y</x:v>
      </x:c>
      <x:c r="U59" s="4" t="str">
        <x:v>Y</x:v>
      </x:c>
      <x:c r="V59" s="14" t="str">
        <x:v>소형 차량</x:v>
      </x:c>
    </x:row>
    <x:row r="60" ht="22" customHeight="1">
      <x:c r="A60" s="4" t="str">
        <x:v>S05_S03</x:v>
      </x:c>
      <x:c r="B60" s="4" t="str">
        <x:v>S05</x:v>
      </x:c>
      <x:c r="C60" s="4" t="str">
        <x:v>S03</x:v>
      </x:c>
      <x:c r="D60" s="4" t="str">
        <x:v>S05</x:v>
      </x:c>
      <x:c r="E60" s="4" t="str">
        <x:v>S03</x:v>
      </x:c>
      <x:c r="F60" s="4" t="str">
        <x:v>신촌점</x:v>
      </x:c>
      <x:c r="G60" s="4" t="str">
        <x:v>응암점</x:v>
      </x:c>
      <x:c r="H60" s="4" t="str">
        <x:v>STORE_TO_STORE</x:v>
      </x:c>
      <x:c r="I60" s="42" t="n">
        <x:v>6.17</x:v>
      </x:c>
      <x:c r="J60" s="42" t="n">
        <x:v>6.17</x:v>
      </x:c>
      <x:c r="K60" s="42" t="n">
        <x:v>6.17</x:v>
      </x:c>
      <x:c r="L60" s="42" t="n">
        <x:v>11.6</x:v>
      </x:c>
      <x:c r="M60" s="42" t="n">
        <x:v>11.6</x:v>
      </x:c>
      <x:c r="N60" s="42" t="n">
        <x:v>11.6</x:v>
      </x:c>
      <x:c r="O60" s="42" t="n">
        <x:v>4785</x:v>
      </x:c>
      <x:c r="P60" s="42" t="n">
        <x:v>4785</x:v>
      </x:c>
      <x:c r="Q60" s="42" t="n">
        <x:v>4785</x:v>
      </x:c>
      <x:c r="R60" s="42" t="n">
        <x:v>500</x:v>
      </x:c>
      <x:c r="S60" s="42" t="n">
        <x:v>1700</x:v>
      </x:c>
      <x:c r="T60" s="4" t="str">
        <x:v>Y</x:v>
      </x:c>
      <x:c r="U60" s="4" t="str">
        <x:v>Y</x:v>
      </x:c>
      <x:c r="V60" s="14" t="str">
        <x:v>소형 차량</x:v>
      </x:c>
    </x:row>
    <x:row r="61" ht="22" customHeight="1">
      <x:c r="A61" s="4" t="str">
        <x:v>S05_S04</x:v>
      </x:c>
      <x:c r="B61" s="4" t="str">
        <x:v>S05</x:v>
      </x:c>
      <x:c r="C61" s="4" t="str">
        <x:v>S04</x:v>
      </x:c>
      <x:c r="D61" s="4" t="str">
        <x:v>S05</x:v>
      </x:c>
      <x:c r="E61" s="4" t="str">
        <x:v>S04</x:v>
      </x:c>
      <x:c r="F61" s="4" t="str">
        <x:v>신촌점</x:v>
      </x:c>
      <x:c r="G61" s="4" t="str">
        <x:v>홍제점</x:v>
      </x:c>
      <x:c r="H61" s="4" t="str">
        <x:v>STORE_TO_STORE</x:v>
      </x:c>
      <x:c r="I61" s="42" t="n">
        <x:v>4.52</x:v>
      </x:c>
      <x:c r="J61" s="42" t="n">
        <x:v>4.52</x:v>
      </x:c>
      <x:c r="K61" s="42" t="n">
        <x:v>4.52</x:v>
      </x:c>
      <x:c r="L61" s="42" t="n">
        <x:v>8.5</x:v>
      </x:c>
      <x:c r="M61" s="42" t="n">
        <x:v>8.5</x:v>
      </x:c>
      <x:c r="N61" s="42" t="n">
        <x:v>8.5</x:v>
      </x:c>
      <x:c r="O61" s="42" t="n">
        <x:v>1714</x:v>
      </x:c>
      <x:c r="P61" s="42" t="n">
        <x:v>1714</x:v>
      </x:c>
      <x:c r="Q61" s="42" t="n">
        <x:v>1714</x:v>
      </x:c>
      <x:c r="R61" s="42" t="n">
        <x:v>500</x:v>
      </x:c>
      <x:c r="S61" s="42" t="n">
        <x:v>1700</x:v>
      </x:c>
      <x:c r="T61" s="4" t="str">
        <x:v>Y</x:v>
      </x:c>
      <x:c r="U61" s="4" t="str">
        <x:v>Y</x:v>
      </x:c>
      <x:c r="V61" s="14" t="str">
        <x:v>소형 차량</x:v>
      </x:c>
    </x:row>
    <x:row r="62" ht="22" customHeight="1">
      <x:c r="A62" s="4" t="str">
        <x:v>S05_S06</x:v>
      </x:c>
      <x:c r="B62" s="4" t="str">
        <x:v>S05</x:v>
      </x:c>
      <x:c r="C62" s="4" t="str">
        <x:v>S06</x:v>
      </x:c>
      <x:c r="D62" s="4" t="str">
        <x:v>S05</x:v>
      </x:c>
      <x:c r="E62" s="4" t="str">
        <x:v>S06</x:v>
      </x:c>
      <x:c r="F62" s="4" t="str">
        <x:v>신촌점</x:v>
      </x:c>
      <x:c r="G62" s="4" t="str">
        <x:v>마포점</x:v>
      </x:c>
      <x:c r="H62" s="4" t="str">
        <x:v>STORE_TO_STORE</x:v>
      </x:c>
      <x:c r="I62" s="42" t="n">
        <x:v>2.22</x:v>
      </x:c>
      <x:c r="J62" s="42" t="n">
        <x:v>2.22</x:v>
      </x:c>
      <x:c r="K62" s="42" t="n">
        <x:v>2.22</x:v>
      </x:c>
      <x:c r="L62" s="42" t="n">
        <x:v>4.2</x:v>
      </x:c>
      <x:c r="M62" s="42" t="n">
        <x:v>4.2</x:v>
      </x:c>
      <x:c r="N62" s="42" t="n">
        <x:v>4.2</x:v>
      </x:c>
      <x:c r="O62" s="42" t="n">
        <x:v>2810</x:v>
      </x:c>
      <x:c r="P62" s="42" t="n">
        <x:v>2810</x:v>
      </x:c>
      <x:c r="Q62" s="42" t="n">
        <x:v>2810</x:v>
      </x:c>
      <x:c r="R62" s="42" t="n">
        <x:v>500</x:v>
      </x:c>
      <x:c r="S62" s="42" t="n">
        <x:v>1700</x:v>
      </x:c>
      <x:c r="T62" s="4" t="str">
        <x:v>Y</x:v>
      </x:c>
      <x:c r="U62" s="4" t="str">
        <x:v>Y</x:v>
      </x:c>
      <x:c r="V62" s="14" t="str">
        <x:v>소형 차량</x:v>
      </x:c>
    </x:row>
    <x:row r="63" ht="22" customHeight="1">
      <x:c r="A63" s="4" t="str">
        <x:v>S05_S07</x:v>
      </x:c>
      <x:c r="B63" s="4" t="str">
        <x:v>S05</x:v>
      </x:c>
      <x:c r="C63" s="4" t="str">
        <x:v>S07</x:v>
      </x:c>
      <x:c r="D63" s="4" t="str">
        <x:v>S05</x:v>
      </x:c>
      <x:c r="E63" s="4" t="str">
        <x:v>S07</x:v>
      </x:c>
      <x:c r="F63" s="4" t="str">
        <x:v>신촌점</x:v>
      </x:c>
      <x:c r="G63" s="4" t="str">
        <x:v>종로점</x:v>
      </x:c>
      <x:c r="H63" s="4" t="str">
        <x:v>STORE_TO_STORE</x:v>
      </x:c>
      <x:c r="I63" s="42" t="n">
        <x:v>5.3</x:v>
      </x:c>
      <x:c r="J63" s="42" t="n">
        <x:v>5.3</x:v>
      </x:c>
      <x:c r="K63" s="42" t="n">
        <x:v>5.3</x:v>
      </x:c>
      <x:c r="L63" s="42" t="n">
        <x:v>9.9</x:v>
      </x:c>
      <x:c r="M63" s="42" t="n">
        <x:v>9.9</x:v>
      </x:c>
      <x:c r="N63" s="42" t="n">
        <x:v>9.9</x:v>
      </x:c>
      <x:c r="O63" s="42" t="n">
        <x:v>4350</x:v>
      </x:c>
      <x:c r="P63" s="42" t="n">
        <x:v>4350</x:v>
      </x:c>
      <x:c r="Q63" s="42" t="n">
        <x:v>4350</x:v>
      </x:c>
      <x:c r="R63" s="42" t="n">
        <x:v>500</x:v>
      </x:c>
      <x:c r="S63" s="42" t="n">
        <x:v>1700</x:v>
      </x:c>
      <x:c r="T63" s="4" t="str">
        <x:v>Y</x:v>
      </x:c>
      <x:c r="U63" s="4" t="str">
        <x:v>Y</x:v>
      </x:c>
      <x:c r="V63" s="14" t="str">
        <x:v>소형 차량</x:v>
      </x:c>
    </x:row>
    <x:row r="64" ht="22" customHeight="1">
      <x:c r="A64" s="4" t="str">
        <x:v>S05_S08</x:v>
      </x:c>
      <x:c r="B64" s="4" t="str">
        <x:v>S05</x:v>
      </x:c>
      <x:c r="C64" s="4" t="str">
        <x:v>S08</x:v>
      </x:c>
      <x:c r="D64" s="4" t="str">
        <x:v>S05</x:v>
      </x:c>
      <x:c r="E64" s="4" t="str">
        <x:v>S08</x:v>
      </x:c>
      <x:c r="F64" s="4" t="str">
        <x:v>신촌점</x:v>
      </x:c>
      <x:c r="G64" s="4" t="str">
        <x:v>용산점</x:v>
      </x:c>
      <x:c r="H64" s="4" t="str">
        <x:v>STORE_TO_STORE</x:v>
      </x:c>
      <x:c r="I64" s="42" t="n">
        <x:v>4.44</x:v>
      </x:c>
      <x:c r="J64" s="42" t="n">
        <x:v>4.44</x:v>
      </x:c>
      <x:c r="K64" s="42" t="n">
        <x:v>4.44</x:v>
      </x:c>
      <x:c r="L64" s="42" t="n">
        <x:v>8.3</x:v>
      </x:c>
      <x:c r="M64" s="42" t="n">
        <x:v>8.3</x:v>
      </x:c>
      <x:c r="N64" s="42" t="n">
        <x:v>8.3</x:v>
      </x:c>
      <x:c r="O64" s="42" t="n">
        <x:v>3920</x:v>
      </x:c>
      <x:c r="P64" s="42" t="n">
        <x:v>3920</x:v>
      </x:c>
      <x:c r="Q64" s="42" t="n">
        <x:v>3920</x:v>
      </x:c>
      <x:c r="R64" s="42" t="n">
        <x:v>500</x:v>
      </x:c>
      <x:c r="S64" s="42" t="n">
        <x:v>1700</x:v>
      </x:c>
      <x:c r="T64" s="4" t="str">
        <x:v>Y</x:v>
      </x:c>
      <x:c r="U64" s="4" t="str">
        <x:v>Y</x:v>
      </x:c>
      <x:c r="V64" s="14" t="str">
        <x:v>소형 차량</x:v>
      </x:c>
    </x:row>
    <x:row r="65" ht="22" customHeight="1">
      <x:c r="A65" s="4" t="str">
        <x:v>S05_S09</x:v>
      </x:c>
      <x:c r="B65" s="4" t="str">
        <x:v>S05</x:v>
      </x:c>
      <x:c r="C65" s="4" t="str">
        <x:v>S09</x:v>
      </x:c>
      <x:c r="D65" s="4" t="str">
        <x:v>S05</x:v>
      </x:c>
      <x:c r="E65" s="4" t="str">
        <x:v>S09</x:v>
      </x:c>
      <x:c r="F65" s="4" t="str">
        <x:v>신촌점</x:v>
      </x:c>
      <x:c r="G65" s="4" t="str">
        <x:v>상암점</x:v>
      </x:c>
      <x:c r="H65" s="4" t="str">
        <x:v>STORE_TO_STORE</x:v>
      </x:c>
      <x:c r="I65" s="42" t="n">
        <x:v>6.03</x:v>
      </x:c>
      <x:c r="J65" s="42" t="n">
        <x:v>6.03</x:v>
      </x:c>
      <x:c r="K65" s="42" t="n">
        <x:v>6.03</x:v>
      </x:c>
      <x:c r="L65" s="42" t="n">
        <x:v>11.3</x:v>
      </x:c>
      <x:c r="M65" s="42" t="n">
        <x:v>11.3</x:v>
      </x:c>
      <x:c r="N65" s="42" t="n">
        <x:v>11.3</x:v>
      </x:c>
      <x:c r="O65" s="42" t="n">
        <x:v>9120</x:v>
      </x:c>
      <x:c r="P65" s="42" t="n">
        <x:v>9120</x:v>
      </x:c>
      <x:c r="Q65" s="42" t="n">
        <x:v>9120</x:v>
      </x:c>
      <x:c r="R65" s="42" t="n">
        <x:v>500</x:v>
      </x:c>
      <x:c r="S65" s="42" t="n">
        <x:v>1700</x:v>
      </x:c>
      <x:c r="T65" s="4" t="str">
        <x:v>Y</x:v>
      </x:c>
      <x:c r="U65" s="4" t="str">
        <x:v>Y</x:v>
      </x:c>
      <x:c r="V65" s="14" t="str">
        <x:v>소형 차량</x:v>
      </x:c>
    </x:row>
    <x:row r="66" ht="22" customHeight="1">
      <x:c r="A66" s="4" t="str">
        <x:v>S05_S10</x:v>
      </x:c>
      <x:c r="B66" s="4" t="str">
        <x:v>S05</x:v>
      </x:c>
      <x:c r="C66" s="4" t="str">
        <x:v>S10</x:v>
      </x:c>
      <x:c r="D66" s="4" t="str">
        <x:v>S05</x:v>
      </x:c>
      <x:c r="E66" s="4" t="str">
        <x:v>S10</x:v>
      </x:c>
      <x:c r="F66" s="4" t="str">
        <x:v>신촌점</x:v>
      </x:c>
      <x:c r="G66" s="4" t="str">
        <x:v>구파발점</x:v>
      </x:c>
      <x:c r="H66" s="4" t="str">
        <x:v>STORE_TO_STORE</x:v>
      </x:c>
      <x:c r="I66" s="42" t="n">
        <x:v>11.18</x:v>
      </x:c>
      <x:c r="J66" s="42" t="n">
        <x:v>11.18</x:v>
      </x:c>
      <x:c r="K66" s="42" t="n">
        <x:v>11.18</x:v>
      </x:c>
      <x:c r="L66" s="42" t="n">
        <x:v>21</x:v>
      </x:c>
      <x:c r="M66" s="42" t="n">
        <x:v>21</x:v>
      </x:c>
      <x:c r="N66" s="42" t="n">
        <x:v>21</x:v>
      </x:c>
      <x:c r="O66" s="42" t="n">
        <x:v>7290</x:v>
      </x:c>
      <x:c r="P66" s="42" t="n">
        <x:v>7290</x:v>
      </x:c>
      <x:c r="Q66" s="42" t="n">
        <x:v>7290</x:v>
      </x:c>
      <x:c r="R66" s="42" t="n">
        <x:v>500</x:v>
      </x:c>
      <x:c r="S66" s="42" t="n">
        <x:v>1700</x:v>
      </x:c>
      <x:c r="T66" s="4" t="str">
        <x:v>Y</x:v>
      </x:c>
      <x:c r="U66" s="4" t="str">
        <x:v>Y</x:v>
      </x:c>
      <x:c r="V66" s="14" t="str">
        <x:v>트럭</x:v>
      </x:c>
    </x:row>
    <x:row r="67" ht="22" customHeight="1">
      <x:c r="A67" s="4" t="str">
        <x:v>S06_S01</x:v>
      </x:c>
      <x:c r="B67" s="4" t="str">
        <x:v>S06</x:v>
      </x:c>
      <x:c r="C67" s="4" t="str">
        <x:v>S01</x:v>
      </x:c>
      <x:c r="D67" s="4" t="str">
        <x:v>S06</x:v>
      </x:c>
      <x:c r="E67" s="4" t="str">
        <x:v>S01</x:v>
      </x:c>
      <x:c r="F67" s="4" t="str">
        <x:v>마포점</x:v>
      </x:c>
      <x:c r="G67" s="4" t="str">
        <x:v>연신내점</x:v>
      </x:c>
      <x:c r="H67" s="4" t="str">
        <x:v>STORE_TO_STORE</x:v>
      </x:c>
      <x:c r="I67" s="42" t="n">
        <x:v>10.3</x:v>
      </x:c>
      <x:c r="J67" s="42" t="n">
        <x:v>10.3</x:v>
      </x:c>
      <x:c r="K67" s="42" t="n">
        <x:v>10.3</x:v>
      </x:c>
      <x:c r="L67" s="42" t="n">
        <x:v>19.3</x:v>
      </x:c>
      <x:c r="M67" s="42" t="n">
        <x:v>19.3</x:v>
      </x:c>
      <x:c r="N67" s="42" t="n">
        <x:v>19.3</x:v>
      </x:c>
      <x:c r="O67" s="42" t="n">
        <x:v>2754</x:v>
      </x:c>
      <x:c r="P67" s="42" t="n">
        <x:v>2754</x:v>
      </x:c>
      <x:c r="Q67" s="42" t="n">
        <x:v>2754</x:v>
      </x:c>
      <x:c r="R67" s="42" t="n">
        <x:v>500</x:v>
      </x:c>
      <x:c r="S67" s="42" t="n">
        <x:v>1700</x:v>
      </x:c>
      <x:c r="T67" s="4" t="str">
        <x:v>Y</x:v>
      </x:c>
      <x:c r="U67" s="4" t="str">
        <x:v>Y</x:v>
      </x:c>
      <x:c r="V67" s="14" t="str">
        <x:v>트럭</x:v>
      </x:c>
    </x:row>
    <x:row r="68" ht="22" customHeight="1">
      <x:c r="A68" s="4" t="str">
        <x:v>S06_S02</x:v>
      </x:c>
      <x:c r="B68" s="4" t="str">
        <x:v>S06</x:v>
      </x:c>
      <x:c r="C68" s="4" t="str">
        <x:v>S02</x:v>
      </x:c>
      <x:c r="D68" s="4" t="str">
        <x:v>S06</x:v>
      </x:c>
      <x:c r="E68" s="4" t="str">
        <x:v>S02</x:v>
      </x:c>
      <x:c r="F68" s="4" t="str">
        <x:v>마포점</x:v>
      </x:c>
      <x:c r="G68" s="4" t="str">
        <x:v>불광점</x:v>
      </x:c>
      <x:c r="H68" s="4" t="str">
        <x:v>STORE_TO_STORE</x:v>
      </x:c>
      <x:c r="I68" s="42" t="n">
        <x:v>8.83</x:v>
      </x:c>
      <x:c r="J68" s="42" t="n">
        <x:v>8.83</x:v>
      </x:c>
      <x:c r="K68" s="42" t="n">
        <x:v>8.83</x:v>
      </x:c>
      <x:c r="L68" s="42" t="n">
        <x:v>16.6</x:v>
      </x:c>
      <x:c r="M68" s="42" t="n">
        <x:v>16.6</x:v>
      </x:c>
      <x:c r="N68" s="42" t="n">
        <x:v>16.6</x:v>
      </x:c>
      <x:c r="O68" s="42" t="n">
        <x:v>6115</x:v>
      </x:c>
      <x:c r="P68" s="42" t="n">
        <x:v>6115</x:v>
      </x:c>
      <x:c r="Q68" s="42" t="n">
        <x:v>6115</x:v>
      </x:c>
      <x:c r="R68" s="42" t="n">
        <x:v>500</x:v>
      </x:c>
      <x:c r="S68" s="42" t="n">
        <x:v>1700</x:v>
      </x:c>
      <x:c r="T68" s="4" t="str">
        <x:v>Y</x:v>
      </x:c>
      <x:c r="U68" s="4" t="str">
        <x:v>Y</x:v>
      </x:c>
      <x:c r="V68" s="14" t="str">
        <x:v>트럭</x:v>
      </x:c>
    </x:row>
    <x:row r="69" ht="22" customHeight="1">
      <x:c r="A69" s="4" t="str">
        <x:v>S06_S03</x:v>
      </x:c>
      <x:c r="B69" s="4" t="str">
        <x:v>S06</x:v>
      </x:c>
      <x:c r="C69" s="4" t="str">
        <x:v>S03</x:v>
      </x:c>
      <x:c r="D69" s="4" t="str">
        <x:v>S06</x:v>
      </x:c>
      <x:c r="E69" s="4" t="str">
        <x:v>S03</x:v>
      </x:c>
      <x:c r="F69" s="4" t="str">
        <x:v>마포점</x:v>
      </x:c>
      <x:c r="G69" s="4" t="str">
        <x:v>응암점</x:v>
      </x:c>
      <x:c r="H69" s="4" t="str">
        <x:v>STORE_TO_STORE</x:v>
      </x:c>
      <x:c r="I69" s="42" t="n">
        <x:v>8.03</x:v>
      </x:c>
      <x:c r="J69" s="42" t="n">
        <x:v>8.03</x:v>
      </x:c>
      <x:c r="K69" s="42" t="n">
        <x:v>8.03</x:v>
      </x:c>
      <x:c r="L69" s="42" t="n">
        <x:v>15.1</x:v>
      </x:c>
      <x:c r="M69" s="42" t="n">
        <x:v>15.1</x:v>
      </x:c>
      <x:c r="N69" s="42" t="n">
        <x:v>15.1</x:v>
      </x:c>
      <x:c r="O69" s="42" t="n">
        <x:v>2345</x:v>
      </x:c>
      <x:c r="P69" s="42" t="n">
        <x:v>2345</x:v>
      </x:c>
      <x:c r="Q69" s="42" t="n">
        <x:v>2345</x:v>
      </x:c>
      <x:c r="R69" s="42" t="n">
        <x:v>500</x:v>
      </x:c>
      <x:c r="S69" s="42" t="n">
        <x:v>1700</x:v>
      </x:c>
      <x:c r="T69" s="4" t="str">
        <x:v>Y</x:v>
      </x:c>
      <x:c r="U69" s="4" t="str">
        <x:v>Y</x:v>
      </x:c>
      <x:c r="V69" s="14" t="str">
        <x:v>트럭</x:v>
      </x:c>
    </x:row>
    <x:row r="70" ht="22" customHeight="1">
      <x:c r="A70" s="4" t="str">
        <x:v>S06_S04</x:v>
      </x:c>
      <x:c r="B70" s="4" t="str">
        <x:v>S06</x:v>
      </x:c>
      <x:c r="C70" s="4" t="str">
        <x:v>S04</x:v>
      </x:c>
      <x:c r="D70" s="4" t="str">
        <x:v>S06</x:v>
      </x:c>
      <x:c r="E70" s="4" t="str">
        <x:v>S04</x:v>
      </x:c>
      <x:c r="F70" s="4" t="str">
        <x:v>마포점</x:v>
      </x:c>
      <x:c r="G70" s="4" t="str">
        <x:v>홍제점</x:v>
      </x:c>
      <x:c r="H70" s="4" t="str">
        <x:v>STORE_TO_STORE</x:v>
      </x:c>
      <x:c r="I70" s="42" t="n">
        <x:v>5.71</x:v>
      </x:c>
      <x:c r="J70" s="42" t="n">
        <x:v>5.71</x:v>
      </x:c>
      <x:c r="K70" s="42" t="n">
        <x:v>5.71</x:v>
      </x:c>
      <x:c r="L70" s="42" t="n">
        <x:v>10.7</x:v>
      </x:c>
      <x:c r="M70" s="42" t="n">
        <x:v>10.7</x:v>
      </x:c>
      <x:c r="N70" s="42" t="n">
        <x:v>10.7</x:v>
      </x:c>
      <x:c r="O70" s="42" t="n">
        <x:v>4555</x:v>
      </x:c>
      <x:c r="P70" s="42" t="n">
        <x:v>4555</x:v>
      </x:c>
      <x:c r="Q70" s="42" t="n">
        <x:v>4555</x:v>
      </x:c>
      <x:c r="R70" s="42" t="n">
        <x:v>500</x:v>
      </x:c>
      <x:c r="S70" s="42" t="n">
        <x:v>1700</x:v>
      </x:c>
      <x:c r="T70" s="4" t="str">
        <x:v>Y</x:v>
      </x:c>
      <x:c r="U70" s="4" t="str">
        <x:v>Y</x:v>
      </x:c>
      <x:c r="V70" s="14" t="str">
        <x:v>소형 차량</x:v>
      </x:c>
    </x:row>
    <x:row r="71" ht="22" customHeight="1">
      <x:c r="A71" s="4" t="str">
        <x:v>S06_S05</x:v>
      </x:c>
      <x:c r="B71" s="4" t="str">
        <x:v>S06</x:v>
      </x:c>
      <x:c r="C71" s="4" t="str">
        <x:v>S05</x:v>
      </x:c>
      <x:c r="D71" s="4" t="str">
        <x:v>S06</x:v>
      </x:c>
      <x:c r="E71" s="4" t="str">
        <x:v>S05</x:v>
      </x:c>
      <x:c r="F71" s="4" t="str">
        <x:v>마포점</x:v>
      </x:c>
      <x:c r="G71" s="4" t="str">
        <x:v>신촌점</x:v>
      </x:c>
      <x:c r="H71" s="4" t="str">
        <x:v>STORE_TO_STORE</x:v>
      </x:c>
      <x:c r="I71" s="42" t="n">
        <x:v>2.22</x:v>
      </x:c>
      <x:c r="J71" s="42" t="n">
        <x:v>2.22</x:v>
      </x:c>
      <x:c r="K71" s="42" t="n">
        <x:v>2.22</x:v>
      </x:c>
      <x:c r="L71" s="42" t="n">
        <x:v>4.2</x:v>
      </x:c>
      <x:c r="M71" s="42" t="n">
        <x:v>4.2</x:v>
      </x:c>
      <x:c r="N71" s="42" t="n">
        <x:v>4.2</x:v>
      </x:c>
      <x:c r="O71" s="42" t="n">
        <x:v>2810</x:v>
      </x:c>
      <x:c r="P71" s="42" t="n">
        <x:v>2810</x:v>
      </x:c>
      <x:c r="Q71" s="42" t="n">
        <x:v>2810</x:v>
      </x:c>
      <x:c r="R71" s="42" t="n">
        <x:v>500</x:v>
      </x:c>
      <x:c r="S71" s="42" t="n">
        <x:v>1700</x:v>
      </x:c>
      <x:c r="T71" s="4" t="str">
        <x:v>Y</x:v>
      </x:c>
      <x:c r="U71" s="4" t="str">
        <x:v>Y</x:v>
      </x:c>
      <x:c r="V71" s="14" t="str">
        <x:v>소형 차량</x:v>
      </x:c>
    </x:row>
    <x:row r="72" ht="22" customHeight="1">
      <x:c r="A72" s="4" t="str">
        <x:v>S06_S07</x:v>
      </x:c>
      <x:c r="B72" s="4" t="str">
        <x:v>S06</x:v>
      </x:c>
      <x:c r="C72" s="4" t="str">
        <x:v>S07</x:v>
      </x:c>
      <x:c r="D72" s="4" t="str">
        <x:v>S06</x:v>
      </x:c>
      <x:c r="E72" s="4" t="str">
        <x:v>S07</x:v>
      </x:c>
      <x:c r="F72" s="4" t="str">
        <x:v>마포점</x:v>
      </x:c>
      <x:c r="G72" s="4" t="str">
        <x:v>종로점</x:v>
      </x:c>
      <x:c r="H72" s="4" t="str">
        <x:v>STORE_TO_STORE</x:v>
      </x:c>
      <x:c r="I72" s="42" t="n">
        <x:v>4.36</x:v>
      </x:c>
      <x:c r="J72" s="42" t="n">
        <x:v>4.36</x:v>
      </x:c>
      <x:c r="K72" s="42" t="n">
        <x:v>4.36</x:v>
      </x:c>
      <x:c r="L72" s="42" t="n">
        <x:v>8.2</x:v>
      </x:c>
      <x:c r="M72" s="42" t="n">
        <x:v>8.2</x:v>
      </x:c>
      <x:c r="N72" s="42" t="n">
        <x:v>8.2</x:v>
      </x:c>
      <x:c r="O72" s="42" t="n">
        <x:v>3880</x:v>
      </x:c>
      <x:c r="P72" s="42" t="n">
        <x:v>3880</x:v>
      </x:c>
      <x:c r="Q72" s="42" t="n">
        <x:v>3880</x:v>
      </x:c>
      <x:c r="R72" s="42" t="n">
        <x:v>500</x:v>
      </x:c>
      <x:c r="S72" s="42" t="n">
        <x:v>1700</x:v>
      </x:c>
      <x:c r="T72" s="4" t="str">
        <x:v>Y</x:v>
      </x:c>
      <x:c r="U72" s="4" t="str">
        <x:v>Y</x:v>
      </x:c>
      <x:c r="V72" s="14" t="str">
        <x:v>소형 차량</x:v>
      </x:c>
    </x:row>
    <x:row r="73" ht="22" customHeight="1">
      <x:c r="A73" s="4" t="str">
        <x:v>S06_S08</x:v>
      </x:c>
      <x:c r="B73" s="4" t="str">
        <x:v>S06</x:v>
      </x:c>
      <x:c r="C73" s="4" t="str">
        <x:v>S08</x:v>
      </x:c>
      <x:c r="D73" s="4" t="str">
        <x:v>S06</x:v>
      </x:c>
      <x:c r="E73" s="4" t="str">
        <x:v>S08</x:v>
      </x:c>
      <x:c r="F73" s="4" t="str">
        <x:v>마포점</x:v>
      </x:c>
      <x:c r="G73" s="4" t="str">
        <x:v>용산점</x:v>
      </x:c>
      <x:c r="H73" s="4" t="str">
        <x:v>STORE_TO_STORE</x:v>
      </x:c>
      <x:c r="I73" s="42" t="n">
        <x:v>2.42</x:v>
      </x:c>
      <x:c r="J73" s="42" t="n">
        <x:v>2.42</x:v>
      </x:c>
      <x:c r="K73" s="42" t="n">
        <x:v>2.42</x:v>
      </x:c>
      <x:c r="L73" s="42" t="n">
        <x:v>4.5</x:v>
      </x:c>
      <x:c r="M73" s="42" t="n">
        <x:v>4.5</x:v>
      </x:c>
      <x:c r="N73" s="42" t="n">
        <x:v>4.5</x:v>
      </x:c>
      <x:c r="O73" s="42" t="n">
        <x:v>2910</x:v>
      </x:c>
      <x:c r="P73" s="42" t="n">
        <x:v>2910</x:v>
      </x:c>
      <x:c r="Q73" s="42" t="n">
        <x:v>2910</x:v>
      </x:c>
      <x:c r="R73" s="42" t="n">
        <x:v>500</x:v>
      </x:c>
      <x:c r="S73" s="42" t="n">
        <x:v>1700</x:v>
      </x:c>
      <x:c r="T73" s="4" t="str">
        <x:v>Y</x:v>
      </x:c>
      <x:c r="U73" s="4" t="str">
        <x:v>Y</x:v>
      </x:c>
      <x:c r="V73" s="14" t="str">
        <x:v>소형 차량</x:v>
      </x:c>
    </x:row>
    <x:row r="74" ht="22" customHeight="1">
      <x:c r="A74" s="4" t="str">
        <x:v>S06_S09</x:v>
      </x:c>
      <x:c r="B74" s="4" t="str">
        <x:v>S06</x:v>
      </x:c>
      <x:c r="C74" s="4" t="str">
        <x:v>S09</x:v>
      </x:c>
      <x:c r="D74" s="4" t="str">
        <x:v>S06</x:v>
      </x:c>
      <x:c r="E74" s="4" t="str">
        <x:v>S09</x:v>
      </x:c>
      <x:c r="F74" s="4" t="str">
        <x:v>마포점</x:v>
      </x:c>
      <x:c r="G74" s="4" t="str">
        <x:v>상암점</x:v>
      </x:c>
      <x:c r="H74" s="4" t="str">
        <x:v>STORE_TO_STORE</x:v>
      </x:c>
      <x:c r="I74" s="42" t="n">
        <x:v>8.25</x:v>
      </x:c>
      <x:c r="J74" s="42" t="n">
        <x:v>8.25</x:v>
      </x:c>
      <x:c r="K74" s="42" t="n">
        <x:v>8.25</x:v>
      </x:c>
      <x:c r="L74" s="42" t="n">
        <x:v>15.5</x:v>
      </x:c>
      <x:c r="M74" s="42" t="n">
        <x:v>15.5</x:v>
      </x:c>
      <x:c r="N74" s="42" t="n">
        <x:v>15.5</x:v>
      </x:c>
      <x:c r="O74" s="42" t="n">
        <x:v>5825</x:v>
      </x:c>
      <x:c r="P74" s="42" t="n">
        <x:v>5825</x:v>
      </x:c>
      <x:c r="Q74" s="42" t="n">
        <x:v>5825</x:v>
      </x:c>
      <x:c r="R74" s="42" t="n">
        <x:v>500</x:v>
      </x:c>
      <x:c r="S74" s="42" t="n">
        <x:v>1700</x:v>
      </x:c>
      <x:c r="T74" s="4" t="str">
        <x:v>Y</x:v>
      </x:c>
      <x:c r="U74" s="4" t="str">
        <x:v>Y</x:v>
      </x:c>
      <x:c r="V74" s="14" t="str">
        <x:v>트럭</x:v>
      </x:c>
    </x:row>
    <x:row r="75" ht="22" customHeight="1">
      <x:c r="A75" s="4" t="str">
        <x:v>S06_S10</x:v>
      </x:c>
      <x:c r="B75" s="4" t="str">
        <x:v>S06</x:v>
      </x:c>
      <x:c r="C75" s="4" t="str">
        <x:v>S10</x:v>
      </x:c>
      <x:c r="D75" s="4" t="str">
        <x:v>S06</x:v>
      </x:c>
      <x:c r="E75" s="4" t="str">
        <x:v>S10</x:v>
      </x:c>
      <x:c r="F75" s="4" t="str">
        <x:v>마포점</x:v>
      </x:c>
      <x:c r="G75" s="4" t="str">
        <x:v>구파발점</x:v>
      </x:c>
      <x:c r="H75" s="4" t="str">
        <x:v>STORE_TO_STORE</x:v>
      </x:c>
      <x:c r="I75" s="42" t="n">
        <x:v>12.71</x:v>
      </x:c>
      <x:c r="J75" s="42" t="n">
        <x:v>12.71</x:v>
      </x:c>
      <x:c r="K75" s="42" t="n">
        <x:v>12.71</x:v>
      </x:c>
      <x:c r="L75" s="42" t="n">
        <x:v>23.8</x:v>
      </x:c>
      <x:c r="M75" s="42" t="n">
        <x:v>23.8</x:v>
      </x:c>
      <x:c r="N75" s="42" t="n">
        <x:v>23.8</x:v>
      </x:c>
      <x:c r="O75" s="42" t="n">
        <x:v>8055</x:v>
      </x:c>
      <x:c r="P75" s="42" t="n">
        <x:v>8055</x:v>
      </x:c>
      <x:c r="Q75" s="42" t="n">
        <x:v>8055</x:v>
      </x:c>
      <x:c r="R75" s="42" t="n">
        <x:v>500</x:v>
      </x:c>
      <x:c r="S75" s="42" t="n">
        <x:v>1700</x:v>
      </x:c>
      <x:c r="T75" s="4" t="str">
        <x:v>Y</x:v>
      </x:c>
      <x:c r="U75" s="4" t="str">
        <x:v>Y</x:v>
      </x:c>
      <x:c r="V75" s="14" t="str">
        <x:v>트럭</x:v>
      </x:c>
    </x:row>
    <x:row r="76" ht="22" customHeight="1">
      <x:c r="A76" s="4" t="str">
        <x:v>S07_S01</x:v>
      </x:c>
      <x:c r="B76" s="4" t="str">
        <x:v>S07</x:v>
      </x:c>
      <x:c r="C76" s="4" t="str">
        <x:v>S01</x:v>
      </x:c>
      <x:c r="D76" s="4" t="str">
        <x:v>S07</x:v>
      </x:c>
      <x:c r="E76" s="4" t="str">
        <x:v>S01</x:v>
      </x:c>
      <x:c r="F76" s="4" t="str">
        <x:v>종로점</x:v>
      </x:c>
      <x:c r="G76" s="4" t="str">
        <x:v>연신내점</x:v>
      </x:c>
      <x:c r="H76" s="4" t="str">
        <x:v>STORE_TO_STORE</x:v>
      </x:c>
      <x:c r="I76" s="42" t="n">
        <x:v>9.15</x:v>
      </x:c>
      <x:c r="J76" s="42" t="n">
        <x:v>9.15</x:v>
      </x:c>
      <x:c r="K76" s="42" t="n">
        <x:v>9.15</x:v>
      </x:c>
      <x:c r="L76" s="42" t="n">
        <x:v>17.2</x:v>
      </x:c>
      <x:c r="M76" s="42" t="n">
        <x:v>17.2</x:v>
      </x:c>
      <x:c r="N76" s="42" t="n">
        <x:v>17.2</x:v>
      </x:c>
      <x:c r="O76" s="42" t="n">
        <x:v>6275</x:v>
      </x:c>
      <x:c r="P76" s="42" t="n">
        <x:v>6275</x:v>
      </x:c>
      <x:c r="Q76" s="42" t="n">
        <x:v>6275</x:v>
      </x:c>
      <x:c r="R76" s="42" t="n">
        <x:v>500</x:v>
      </x:c>
      <x:c r="S76" s="42" t="n">
        <x:v>1700</x:v>
      </x:c>
      <x:c r="T76" s="4" t="str">
        <x:v>Y</x:v>
      </x:c>
      <x:c r="U76" s="4" t="str">
        <x:v>Y</x:v>
      </x:c>
      <x:c r="V76" s="14" t="str">
        <x:v>트럭</x:v>
      </x:c>
    </x:row>
    <x:row r="77" ht="22" customHeight="1">
      <x:c r="A77" s="4" t="str">
        <x:v>S07_S02</x:v>
      </x:c>
      <x:c r="B77" s="4" t="str">
        <x:v>S07</x:v>
      </x:c>
      <x:c r="C77" s="4" t="str">
        <x:v>S02</x:v>
      </x:c>
      <x:c r="D77" s="4" t="str">
        <x:v>S07</x:v>
      </x:c>
      <x:c r="E77" s="4" t="str">
        <x:v>S02</x:v>
      </x:c>
      <x:c r="F77" s="4" t="str">
        <x:v>종로점</x:v>
      </x:c>
      <x:c r="G77" s="4" t="str">
        <x:v>불광점</x:v>
      </x:c>
      <x:c r="H77" s="4" t="str">
        <x:v>STORE_TO_STORE</x:v>
      </x:c>
      <x:c r="I77" s="42" t="n">
        <x:v>7.6</x:v>
      </x:c>
      <x:c r="J77" s="42" t="n">
        <x:v>7.6</x:v>
      </x:c>
      <x:c r="K77" s="42" t="n">
        <x:v>7.6</x:v>
      </x:c>
      <x:c r="L77" s="42" t="n">
        <x:v>14.2</x:v>
      </x:c>
      <x:c r="M77" s="42" t="n">
        <x:v>14.2</x:v>
      </x:c>
      <x:c r="N77" s="42" t="n">
        <x:v>14.2</x:v>
      </x:c>
      <x:c r="O77" s="42" t="n">
        <x:v>10140</x:v>
      </x:c>
      <x:c r="P77" s="42" t="n">
        <x:v>10140</x:v>
      </x:c>
      <x:c r="Q77" s="42" t="n">
        <x:v>10140</x:v>
      </x:c>
      <x:c r="R77" s="42" t="n">
        <x:v>500</x:v>
      </x:c>
      <x:c r="S77" s="42" t="n">
        <x:v>1700</x:v>
      </x:c>
      <x:c r="T77" s="4" t="str">
        <x:v>Y</x:v>
      </x:c>
      <x:c r="U77" s="4" t="str">
        <x:v>Y</x:v>
      </x:c>
      <x:c r="V77" s="14" t="str">
        <x:v>소형 차량</x:v>
      </x:c>
    </x:row>
    <x:row r="78" ht="22" customHeight="1">
      <x:c r="A78" s="4" t="str">
        <x:v>S07_S03</x:v>
      </x:c>
      <x:c r="B78" s="4" t="str">
        <x:v>S07</x:v>
      </x:c>
      <x:c r="C78" s="4" t="str">
        <x:v>S03</x:v>
      </x:c>
      <x:c r="D78" s="4" t="str">
        <x:v>S07</x:v>
      </x:c>
      <x:c r="E78" s="4" t="str">
        <x:v>S03</x:v>
      </x:c>
      <x:c r="F78" s="4" t="str">
        <x:v>종로점</x:v>
      </x:c>
      <x:c r="G78" s="4" t="str">
        <x:v>응암점</x:v>
      </x:c>
      <x:c r="H78" s="4" t="str">
        <x:v>STORE_TO_STORE</x:v>
      </x:c>
      <x:c r="I78" s="42" t="n">
        <x:v>8.02</x:v>
      </x:c>
      <x:c r="J78" s="42" t="n">
        <x:v>8.02</x:v>
      </x:c>
      <x:c r="K78" s="42" t="n">
        <x:v>8.02</x:v>
      </x:c>
      <x:c r="L78" s="42" t="n">
        <x:v>15</x:v>
      </x:c>
      <x:c r="M78" s="42" t="n">
        <x:v>15</x:v>
      </x:c>
      <x:c r="N78" s="42" t="n">
        <x:v>15</x:v>
      </x:c>
      <x:c r="O78" s="42" t="n">
        <x:v>5710</x:v>
      </x:c>
      <x:c r="P78" s="42" t="n">
        <x:v>5710</x:v>
      </x:c>
      <x:c r="Q78" s="42" t="n">
        <x:v>5710</x:v>
      </x:c>
      <x:c r="R78" s="42" t="n">
        <x:v>500</x:v>
      </x:c>
      <x:c r="S78" s="42" t="n">
        <x:v>1700</x:v>
      </x:c>
      <x:c r="T78" s="4" t="str">
        <x:v>Y</x:v>
      </x:c>
      <x:c r="U78" s="4" t="str">
        <x:v>Y</x:v>
      </x:c>
      <x:c r="V78" s="14" t="str">
        <x:v>트럭</x:v>
      </x:c>
    </x:row>
    <x:row r="79" ht="22" customHeight="1">
      <x:c r="A79" s="4" t="str">
        <x:v>S07_S04</x:v>
      </x:c>
      <x:c r="B79" s="4" t="str">
        <x:v>S07</x:v>
      </x:c>
      <x:c r="C79" s="4" t="str">
        <x:v>S04</x:v>
      </x:c>
      <x:c r="D79" s="4" t="str">
        <x:v>S07</x:v>
      </x:c>
      <x:c r="E79" s="4" t="str">
        <x:v>S04</x:v>
      </x:c>
      <x:c r="F79" s="4" t="str">
        <x:v>종로점</x:v>
      </x:c>
      <x:c r="G79" s="4" t="str">
        <x:v>홍제점</x:v>
      </x:c>
      <x:c r="H79" s="4" t="str">
        <x:v>STORE_TO_STORE</x:v>
      </x:c>
      <x:c r="I79" s="42" t="n">
        <x:v>4.79</x:v>
      </x:c>
      <x:c r="J79" s="42" t="n">
        <x:v>4.79</x:v>
      </x:c>
      <x:c r="K79" s="42" t="n">
        <x:v>4.79</x:v>
      </x:c>
      <x:c r="L79" s="42" t="n">
        <x:v>9</x:v>
      </x:c>
      <x:c r="M79" s="42" t="n">
        <x:v>9</x:v>
      </x:c>
      <x:c r="N79" s="42" t="n">
        <x:v>9</x:v>
      </x:c>
      <x:c r="O79" s="42" t="n">
        <x:v>4095</x:v>
      </x:c>
      <x:c r="P79" s="42" t="n">
        <x:v>4095</x:v>
      </x:c>
      <x:c r="Q79" s="42" t="n">
        <x:v>4095</x:v>
      </x:c>
      <x:c r="R79" s="42" t="n">
        <x:v>500</x:v>
      </x:c>
      <x:c r="S79" s="42" t="n">
        <x:v>1700</x:v>
      </x:c>
      <x:c r="T79" s="4" t="str">
        <x:v>Y</x:v>
      </x:c>
      <x:c r="U79" s="4" t="str">
        <x:v>Y</x:v>
      </x:c>
      <x:c r="V79" s="14" t="str">
        <x:v>소형 차량</x:v>
      </x:c>
    </x:row>
    <x:row r="80" ht="22" customHeight="1">
      <x:c r="A80" s="4" t="str">
        <x:v>S07_S05</x:v>
      </x:c>
      <x:c r="B80" s="4" t="str">
        <x:v>S07</x:v>
      </x:c>
      <x:c r="C80" s="4" t="str">
        <x:v>S05</x:v>
      </x:c>
      <x:c r="D80" s="4" t="str">
        <x:v>S07</x:v>
      </x:c>
      <x:c r="E80" s="4" t="str">
        <x:v>S05</x:v>
      </x:c>
      <x:c r="F80" s="4" t="str">
        <x:v>종로점</x:v>
      </x:c>
      <x:c r="G80" s="4" t="str">
        <x:v>신촌점</x:v>
      </x:c>
      <x:c r="H80" s="4" t="str">
        <x:v>STORE_TO_STORE</x:v>
      </x:c>
      <x:c r="I80" s="42" t="n">
        <x:v>5.3</x:v>
      </x:c>
      <x:c r="J80" s="42" t="n">
        <x:v>5.3</x:v>
      </x:c>
      <x:c r="K80" s="42" t="n">
        <x:v>5.3</x:v>
      </x:c>
      <x:c r="L80" s="42" t="n">
        <x:v>9.9</x:v>
      </x:c>
      <x:c r="M80" s="42" t="n">
        <x:v>9.9</x:v>
      </x:c>
      <x:c r="N80" s="42" t="n">
        <x:v>9.9</x:v>
      </x:c>
      <x:c r="O80" s="42" t="n">
        <x:v>4350</x:v>
      </x:c>
      <x:c r="P80" s="42" t="n">
        <x:v>4350</x:v>
      </x:c>
      <x:c r="Q80" s="42" t="n">
        <x:v>4350</x:v>
      </x:c>
      <x:c r="R80" s="42" t="n">
        <x:v>500</x:v>
      </x:c>
      <x:c r="S80" s="42" t="n">
        <x:v>1700</x:v>
      </x:c>
      <x:c r="T80" s="4" t="str">
        <x:v>Y</x:v>
      </x:c>
      <x:c r="U80" s="4" t="str">
        <x:v>Y</x:v>
      </x:c>
      <x:c r="V80" s="14" t="str">
        <x:v>소형 차량</x:v>
      </x:c>
    </x:row>
    <x:row r="81" ht="22" customHeight="1">
      <x:c r="A81" s="4" t="str">
        <x:v>S07_S06</x:v>
      </x:c>
      <x:c r="B81" s="4" t="str">
        <x:v>S07</x:v>
      </x:c>
      <x:c r="C81" s="4" t="str">
        <x:v>S06</x:v>
      </x:c>
      <x:c r="D81" s="4" t="str">
        <x:v>S07</x:v>
      </x:c>
      <x:c r="E81" s="4" t="str">
        <x:v>S06</x:v>
      </x:c>
      <x:c r="F81" s="4" t="str">
        <x:v>종로점</x:v>
      </x:c>
      <x:c r="G81" s="4" t="str">
        <x:v>마포점</x:v>
      </x:c>
      <x:c r="H81" s="4" t="str">
        <x:v>STORE_TO_STORE</x:v>
      </x:c>
      <x:c r="I81" s="42" t="n">
        <x:v>4.36</x:v>
      </x:c>
      <x:c r="J81" s="42" t="n">
        <x:v>4.36</x:v>
      </x:c>
      <x:c r="K81" s="42" t="n">
        <x:v>4.36</x:v>
      </x:c>
      <x:c r="L81" s="42" t="n">
        <x:v>8.2</x:v>
      </x:c>
      <x:c r="M81" s="42" t="n">
        <x:v>8.2</x:v>
      </x:c>
      <x:c r="N81" s="42" t="n">
        <x:v>8.2</x:v>
      </x:c>
      <x:c r="O81" s="42" t="n">
        <x:v>3880</x:v>
      </x:c>
      <x:c r="P81" s="42" t="n">
        <x:v>3880</x:v>
      </x:c>
      <x:c r="Q81" s="42" t="n">
        <x:v>3880</x:v>
      </x:c>
      <x:c r="R81" s="42" t="n">
        <x:v>500</x:v>
      </x:c>
      <x:c r="S81" s="42" t="n">
        <x:v>1700</x:v>
      </x:c>
      <x:c r="T81" s="4" t="str">
        <x:v>Y</x:v>
      </x:c>
      <x:c r="U81" s="4" t="str">
        <x:v>Y</x:v>
      </x:c>
      <x:c r="V81" s="14" t="str">
        <x:v>소형 차량</x:v>
      </x:c>
    </x:row>
    <x:row r="82" ht="22" customHeight="1">
      <x:c r="A82" s="4" t="str">
        <x:v>S07_S08</x:v>
      </x:c>
      <x:c r="B82" s="4" t="str">
        <x:v>S07</x:v>
      </x:c>
      <x:c r="C82" s="4" t="str">
        <x:v>S08</x:v>
      </x:c>
      <x:c r="D82" s="4" t="str">
        <x:v>S07</x:v>
      </x:c>
      <x:c r="E82" s="4" t="str">
        <x:v>S08</x:v>
      </x:c>
      <x:c r="F82" s="4" t="str">
        <x:v>종로점</x:v>
      </x:c>
      <x:c r="G82" s="4" t="str">
        <x:v>용산점</x:v>
      </x:c>
      <x:c r="H82" s="4" t="str">
        <x:v>STORE_TO_STORE</x:v>
      </x:c>
      <x:c r="I82" s="42" t="n">
        <x:v>5.73</x:v>
      </x:c>
      <x:c r="J82" s="42" t="n">
        <x:v>5.73</x:v>
      </x:c>
      <x:c r="K82" s="42" t="n">
        <x:v>5.73</x:v>
      </x:c>
      <x:c r="L82" s="42" t="n">
        <x:v>10.7</x:v>
      </x:c>
      <x:c r="M82" s="42" t="n">
        <x:v>10.7</x:v>
      </x:c>
      <x:c r="N82" s="42" t="n">
        <x:v>10.7</x:v>
      </x:c>
      <x:c r="O82" s="42" t="n">
        <x:v>4565</x:v>
      </x:c>
      <x:c r="P82" s="42" t="n">
        <x:v>4565</x:v>
      </x:c>
      <x:c r="Q82" s="42" t="n">
        <x:v>4565</x:v>
      </x:c>
      <x:c r="R82" s="42" t="n">
        <x:v>500</x:v>
      </x:c>
      <x:c r="S82" s="42" t="n">
        <x:v>1700</x:v>
      </x:c>
      <x:c r="T82" s="4" t="str">
        <x:v>Y</x:v>
      </x:c>
      <x:c r="U82" s="4" t="str">
        <x:v>Y</x:v>
      </x:c>
      <x:c r="V82" s="14" t="str">
        <x:v>소형 차량</x:v>
      </x:c>
    </x:row>
    <x:row r="83" ht="22" customHeight="1">
      <x:c r="A83" s="4" t="str">
        <x:v>S07_S09</x:v>
      </x:c>
      <x:c r="B83" s="4" t="str">
        <x:v>S07</x:v>
      </x:c>
      <x:c r="C83" s="4" t="str">
        <x:v>S09</x:v>
      </x:c>
      <x:c r="D83" s="4" t="str">
        <x:v>S07</x:v>
      </x:c>
      <x:c r="E83" s="4" t="str">
        <x:v>S09</x:v>
      </x:c>
      <x:c r="F83" s="4" t="str">
        <x:v>종로점</x:v>
      </x:c>
      <x:c r="G83" s="4" t="str">
        <x:v>상암점</x:v>
      </x:c>
      <x:c r="H83" s="4" t="str">
        <x:v>STORE_TO_STORE</x:v>
      </x:c>
      <x:c r="I83" s="42" t="n">
        <x:v>10.04</x:v>
      </x:c>
      <x:c r="J83" s="42" t="n">
        <x:v>10.04</x:v>
      </x:c>
      <x:c r="K83" s="42" t="n">
        <x:v>10.04</x:v>
      </x:c>
      <x:c r="L83" s="42" t="n">
        <x:v>18.8</x:v>
      </x:c>
      <x:c r="M83" s="42" t="n">
        <x:v>18.8</x:v>
      </x:c>
      <x:c r="N83" s="42" t="n">
        <x:v>18.8</x:v>
      </x:c>
      <x:c r="O83" s="42" t="n">
        <x:v>6720</x:v>
      </x:c>
      <x:c r="P83" s="42" t="n">
        <x:v>6720</x:v>
      </x:c>
      <x:c r="Q83" s="42" t="n">
        <x:v>6720</x:v>
      </x:c>
      <x:c r="R83" s="42" t="n">
        <x:v>500</x:v>
      </x:c>
      <x:c r="S83" s="42" t="n">
        <x:v>1700</x:v>
      </x:c>
      <x:c r="T83" s="4" t="str">
        <x:v>Y</x:v>
      </x:c>
      <x:c r="U83" s="4" t="str">
        <x:v>Y</x:v>
      </x:c>
      <x:c r="V83" s="14" t="str">
        <x:v>트럭</x:v>
      </x:c>
    </x:row>
    <x:row r="84" ht="22" customHeight="1">
      <x:c r="A84" s="4" t="str">
        <x:v>S07_S10</x:v>
      </x:c>
      <x:c r="B84" s="4" t="str">
        <x:v>S07</x:v>
      </x:c>
      <x:c r="C84" s="4" t="str">
        <x:v>S10</x:v>
      </x:c>
      <x:c r="D84" s="4" t="str">
        <x:v>S07</x:v>
      </x:c>
      <x:c r="E84" s="4" t="str">
        <x:v>S10</x:v>
      </x:c>
      <x:c r="F84" s="4" t="str">
        <x:v>종로점</x:v>
      </x:c>
      <x:c r="G84" s="4" t="str">
        <x:v>구파발점</x:v>
      </x:c>
      <x:c r="H84" s="4" t="str">
        <x:v>STORE_TO_STORE</x:v>
      </x:c>
      <x:c r="I84" s="42" t="n">
        <x:v>11.18</x:v>
      </x:c>
      <x:c r="J84" s="42" t="n">
        <x:v>11.18</x:v>
      </x:c>
      <x:c r="K84" s="42" t="n">
        <x:v>11.18</x:v>
      </x:c>
      <x:c r="L84" s="42" t="n">
        <x:v>21</x:v>
      </x:c>
      <x:c r="M84" s="42" t="n">
        <x:v>21</x:v>
      </x:c>
      <x:c r="N84" s="42" t="n">
        <x:v>21</x:v>
      </x:c>
      <x:c r="O84" s="42" t="n">
        <x:v>7290</x:v>
      </x:c>
      <x:c r="P84" s="42" t="n">
        <x:v>7290</x:v>
      </x:c>
      <x:c r="Q84" s="42" t="n">
        <x:v>7290</x:v>
      </x:c>
      <x:c r="R84" s="42" t="n">
        <x:v>500</x:v>
      </x:c>
      <x:c r="S84" s="42" t="n">
        <x:v>1700</x:v>
      </x:c>
      <x:c r="T84" s="4" t="str">
        <x:v>Y</x:v>
      </x:c>
      <x:c r="U84" s="4" t="str">
        <x:v>Y</x:v>
      </x:c>
      <x:c r="V84" s="14" t="str">
        <x:v>트럭</x:v>
      </x:c>
    </x:row>
    <x:row r="85" ht="22" customHeight="1">
      <x:c r="A85" s="4" t="str">
        <x:v>S08_S01</x:v>
      </x:c>
      <x:c r="B85" s="4" t="str">
        <x:v>S08</x:v>
      </x:c>
      <x:c r="C85" s="4" t="str">
        <x:v>S01</x:v>
      </x:c>
      <x:c r="D85" s="4" t="str">
        <x:v>S08</x:v>
      </x:c>
      <x:c r="E85" s="4" t="str">
        <x:v>S01</x:v>
      </x:c>
      <x:c r="F85" s="4" t="str">
        <x:v>용산점</x:v>
      </x:c>
      <x:c r="G85" s="4" t="str">
        <x:v>연신내점</x:v>
      </x:c>
      <x:c r="H85" s="4" t="str">
        <x:v>STORE_TO_STORE</x:v>
      </x:c>
      <x:c r="I85" s="42" t="n">
        <x:v>12.72</x:v>
      </x:c>
      <x:c r="J85" s="42" t="n">
        <x:v>12.72</x:v>
      </x:c>
      <x:c r="K85" s="42" t="n">
        <x:v>12.72</x:v>
      </x:c>
      <x:c r="L85" s="42" t="n">
        <x:v>23.9</x:v>
      </x:c>
      <x:c r="M85" s="42" t="n">
        <x:v>23.9</x:v>
      </x:c>
      <x:c r="N85" s="42" t="n">
        <x:v>23.9</x:v>
      </x:c>
      <x:c r="O85" s="42" t="n">
        <x:v>8060</x:v>
      </x:c>
      <x:c r="P85" s="42" t="n">
        <x:v>8060</x:v>
      </x:c>
      <x:c r="Q85" s="42" t="n">
        <x:v>8060</x:v>
      </x:c>
      <x:c r="R85" s="42" t="n">
        <x:v>500</x:v>
      </x:c>
      <x:c r="S85" s="42" t="n">
        <x:v>1700</x:v>
      </x:c>
      <x:c r="T85" s="4" t="str">
        <x:v>Y</x:v>
      </x:c>
      <x:c r="U85" s="4" t="str">
        <x:v>Y</x:v>
      </x:c>
      <x:c r="V85" s="14" t="str">
        <x:v>트럭</x:v>
      </x:c>
    </x:row>
    <x:row r="86" ht="22" customHeight="1">
      <x:c r="A86" s="4" t="str">
        <x:v>S08_S02</x:v>
      </x:c>
      <x:c r="B86" s="4" t="str">
        <x:v>S08</x:v>
      </x:c>
      <x:c r="C86" s="4" t="str">
        <x:v>S02</x:v>
      </x:c>
      <x:c r="D86" s="4" t="str">
        <x:v>S08</x:v>
      </x:c>
      <x:c r="E86" s="4" t="str">
        <x:v>S02</x:v>
      </x:c>
      <x:c r="F86" s="4" t="str">
        <x:v>용산점</x:v>
      </x:c>
      <x:c r="G86" s="4" t="str">
        <x:v>불광점</x:v>
      </x:c>
      <x:c r="H86" s="4" t="str">
        <x:v>STORE_TO_STORE</x:v>
      </x:c>
      <x:c r="I86" s="42" t="n">
        <x:v>11.23</x:v>
      </x:c>
      <x:c r="J86" s="42" t="n">
        <x:v>11.23</x:v>
      </x:c>
      <x:c r="K86" s="42" t="n">
        <x:v>11.23</x:v>
      </x:c>
      <x:c r="L86" s="42" t="n">
        <x:v>21.1</x:v>
      </x:c>
      <x:c r="M86" s="42" t="n">
        <x:v>21.1</x:v>
      </x:c>
      <x:c r="N86" s="42" t="n">
        <x:v>21.1</x:v>
      </x:c>
      <x:c r="O86" s="42" t="n">
        <x:v>7315</x:v>
      </x:c>
      <x:c r="P86" s="42" t="n">
        <x:v>7315</x:v>
      </x:c>
      <x:c r="Q86" s="42" t="n">
        <x:v>7315</x:v>
      </x:c>
      <x:c r="R86" s="42" t="n">
        <x:v>500</x:v>
      </x:c>
      <x:c r="S86" s="42" t="n">
        <x:v>1700</x:v>
      </x:c>
      <x:c r="T86" s="4" t="str">
        <x:v>Y</x:v>
      </x:c>
      <x:c r="U86" s="4" t="str">
        <x:v>Y</x:v>
      </x:c>
      <x:c r="V86" s="14" t="str">
        <x:v>트럭</x:v>
      </x:c>
    </x:row>
    <x:row r="87" ht="22" customHeight="1">
      <x:c r="A87" s="4" t="str">
        <x:v>S08_S03</x:v>
      </x:c>
      <x:c r="B87" s="4" t="str">
        <x:v>S08</x:v>
      </x:c>
      <x:c r="C87" s="4" t="str">
        <x:v>S03</x:v>
      </x:c>
      <x:c r="D87" s="4" t="str">
        <x:v>S08</x:v>
      </x:c>
      <x:c r="E87" s="4" t="str">
        <x:v>S03</x:v>
      </x:c>
      <x:c r="F87" s="4" t="str">
        <x:v>용산점</x:v>
      </x:c>
      <x:c r="G87" s="4" t="str">
        <x:v>응암점</x:v>
      </x:c>
      <x:c r="H87" s="4" t="str">
        <x:v>STORE_TO_STORE</x:v>
      </x:c>
      <x:c r="I87" s="42" t="n">
        <x:v>10.44</x:v>
      </x:c>
      <x:c r="J87" s="42" t="n">
        <x:v>10.44</x:v>
      </x:c>
      <x:c r="K87" s="42" t="n">
        <x:v>10.44</x:v>
      </x:c>
      <x:c r="L87" s="42" t="n">
        <x:v>19.6</x:v>
      </x:c>
      <x:c r="M87" s="42" t="n">
        <x:v>19.6</x:v>
      </x:c>
      <x:c r="N87" s="42" t="n">
        <x:v>19.6</x:v>
      </x:c>
      <x:c r="O87" s="42" t="n">
        <x:v>6920</x:v>
      </x:c>
      <x:c r="P87" s="42" t="n">
        <x:v>6920</x:v>
      </x:c>
      <x:c r="Q87" s="42" t="n">
        <x:v>6920</x:v>
      </x:c>
      <x:c r="R87" s="42" t="n">
        <x:v>500</x:v>
      </x:c>
      <x:c r="S87" s="42" t="n">
        <x:v>1700</x:v>
      </x:c>
      <x:c r="T87" s="4" t="str">
        <x:v>Y</x:v>
      </x:c>
      <x:c r="U87" s="4" t="str">
        <x:v>Y</x:v>
      </x:c>
      <x:c r="V87" s="14" t="str">
        <x:v>트럭</x:v>
      </x:c>
    </x:row>
    <x:row r="88" ht="22" customHeight="1">
      <x:c r="A88" s="4" t="str">
        <x:v>S08_S04</x:v>
      </x:c>
      <x:c r="B88" s="4" t="str">
        <x:v>S08</x:v>
      </x:c>
      <x:c r="C88" s="4" t="str">
        <x:v>S04</x:v>
      </x:c>
      <x:c r="D88" s="4" t="str">
        <x:v>S08</x:v>
      </x:c>
      <x:c r="E88" s="4" t="str">
        <x:v>S04</x:v>
      </x:c>
      <x:c r="F88" s="4" t="str">
        <x:v>용산점</x:v>
      </x:c>
      <x:c r="G88" s="4" t="str">
        <x:v>홍제점</x:v>
      </x:c>
      <x:c r="H88" s="4" t="str">
        <x:v>STORE_TO_STORE</x:v>
      </x:c>
      <x:c r="I88" s="42" t="n">
        <x:v>8.09</x:v>
      </x:c>
      <x:c r="J88" s="42" t="n">
        <x:v>8.09</x:v>
      </x:c>
      <x:c r="K88" s="42" t="n">
        <x:v>8.09</x:v>
      </x:c>
      <x:c r="L88" s="42" t="n">
        <x:v>15.2</x:v>
      </x:c>
      <x:c r="M88" s="42" t="n">
        <x:v>15.2</x:v>
      </x:c>
      <x:c r="N88" s="42" t="n">
        <x:v>15.2</x:v>
      </x:c>
      <x:c r="O88" s="42" t="n">
        <x:v>5745</x:v>
      </x:c>
      <x:c r="P88" s="42" t="n">
        <x:v>5745</x:v>
      </x:c>
      <x:c r="Q88" s="42" t="n">
        <x:v>5745</x:v>
      </x:c>
      <x:c r="R88" s="42" t="n">
        <x:v>500</x:v>
      </x:c>
      <x:c r="S88" s="42" t="n">
        <x:v>1700</x:v>
      </x:c>
      <x:c r="T88" s="4" t="str">
        <x:v>Y</x:v>
      </x:c>
      <x:c r="U88" s="4" t="str">
        <x:v>Y</x:v>
      </x:c>
      <x:c r="V88" s="14" t="str">
        <x:v>트럭</x:v>
      </x:c>
    </x:row>
    <x:row r="89" ht="22" customHeight="1">
      <x:c r="A89" s="4" t="str">
        <x:v>S08_S05</x:v>
      </x:c>
      <x:c r="B89" s="4" t="str">
        <x:v>S08</x:v>
      </x:c>
      <x:c r="C89" s="4" t="str">
        <x:v>S05</x:v>
      </x:c>
      <x:c r="D89" s="4" t="str">
        <x:v>S08</x:v>
      </x:c>
      <x:c r="E89" s="4" t="str">
        <x:v>S05</x:v>
      </x:c>
      <x:c r="F89" s="4" t="str">
        <x:v>용산점</x:v>
      </x:c>
      <x:c r="G89" s="4" t="str">
        <x:v>신촌점</x:v>
      </x:c>
      <x:c r="H89" s="4" t="str">
        <x:v>STORE_TO_STORE</x:v>
      </x:c>
      <x:c r="I89" s="42" t="n">
        <x:v>4.44</x:v>
      </x:c>
      <x:c r="J89" s="42" t="n">
        <x:v>4.44</x:v>
      </x:c>
      <x:c r="K89" s="42" t="n">
        <x:v>4.44</x:v>
      </x:c>
      <x:c r="L89" s="42" t="n">
        <x:v>8.3</x:v>
      </x:c>
      <x:c r="M89" s="42" t="n">
        <x:v>8.3</x:v>
      </x:c>
      <x:c r="N89" s="42" t="n">
        <x:v>8.3</x:v>
      </x:c>
      <x:c r="O89" s="42" t="n">
        <x:v>3920</x:v>
      </x:c>
      <x:c r="P89" s="42" t="n">
        <x:v>3920</x:v>
      </x:c>
      <x:c r="Q89" s="42" t="n">
        <x:v>3920</x:v>
      </x:c>
      <x:c r="R89" s="42" t="n">
        <x:v>500</x:v>
      </x:c>
      <x:c r="S89" s="42" t="n">
        <x:v>1700</x:v>
      </x:c>
      <x:c r="T89" s="4" t="str">
        <x:v>Y</x:v>
      </x:c>
      <x:c r="U89" s="4" t="str">
        <x:v>Y</x:v>
      </x:c>
      <x:c r="V89" s="14" t="str">
        <x:v>소형 차량</x:v>
      </x:c>
    </x:row>
    <x:row r="90" ht="22" customHeight="1">
      <x:c r="A90" s="4" t="str">
        <x:v>S08_S06</x:v>
      </x:c>
      <x:c r="B90" s="4" t="str">
        <x:v>S08</x:v>
      </x:c>
      <x:c r="C90" s="4" t="str">
        <x:v>S06</x:v>
      </x:c>
      <x:c r="D90" s="4" t="str">
        <x:v>S08</x:v>
      </x:c>
      <x:c r="E90" s="4" t="str">
        <x:v>S06</x:v>
      </x:c>
      <x:c r="F90" s="4" t="str">
        <x:v>용산점</x:v>
      </x:c>
      <x:c r="G90" s="4" t="str">
        <x:v>마포점</x:v>
      </x:c>
      <x:c r="H90" s="4" t="str">
        <x:v>STORE_TO_STORE</x:v>
      </x:c>
      <x:c r="I90" s="42" t="n">
        <x:v>2.42</x:v>
      </x:c>
      <x:c r="J90" s="42" t="n">
        <x:v>2.42</x:v>
      </x:c>
      <x:c r="K90" s="42" t="n">
        <x:v>2.42</x:v>
      </x:c>
      <x:c r="L90" s="42" t="n">
        <x:v>4.5</x:v>
      </x:c>
      <x:c r="M90" s="42" t="n">
        <x:v>4.5</x:v>
      </x:c>
      <x:c r="N90" s="42" t="n">
        <x:v>4.5</x:v>
      </x:c>
      <x:c r="O90" s="42" t="n">
        <x:v>2910</x:v>
      </x:c>
      <x:c r="P90" s="42" t="n">
        <x:v>2910</x:v>
      </x:c>
      <x:c r="Q90" s="42" t="n">
        <x:v>2910</x:v>
      </x:c>
      <x:c r="R90" s="42" t="n">
        <x:v>500</x:v>
      </x:c>
      <x:c r="S90" s="42" t="n">
        <x:v>1700</x:v>
      </x:c>
      <x:c r="T90" s="4" t="str">
        <x:v>Y</x:v>
      </x:c>
      <x:c r="U90" s="4" t="str">
        <x:v>Y</x:v>
      </x:c>
      <x:c r="V90" s="14" t="str">
        <x:v>소형 차량</x:v>
      </x:c>
    </x:row>
    <x:row r="91" ht="22" customHeight="1">
      <x:c r="A91" s="4" t="str">
        <x:v>S08_S07</x:v>
      </x:c>
      <x:c r="B91" s="4" t="str">
        <x:v>S08</x:v>
      </x:c>
      <x:c r="C91" s="4" t="str">
        <x:v>S07</x:v>
      </x:c>
      <x:c r="D91" s="4" t="str">
        <x:v>S08</x:v>
      </x:c>
      <x:c r="E91" s="4" t="str">
        <x:v>S07</x:v>
      </x:c>
      <x:c r="F91" s="4" t="str">
        <x:v>용산점</x:v>
      </x:c>
      <x:c r="G91" s="4" t="str">
        <x:v>종로점</x:v>
      </x:c>
      <x:c r="H91" s="4" t="str">
        <x:v>STORE_TO_STORE</x:v>
      </x:c>
      <x:c r="I91" s="42" t="n">
        <x:v>5.73</x:v>
      </x:c>
      <x:c r="J91" s="42" t="n">
        <x:v>5.73</x:v>
      </x:c>
      <x:c r="K91" s="42" t="n">
        <x:v>5.73</x:v>
      </x:c>
      <x:c r="L91" s="42" t="n">
        <x:v>10.7</x:v>
      </x:c>
      <x:c r="M91" s="42" t="n">
        <x:v>10.7</x:v>
      </x:c>
      <x:c r="N91" s="42" t="n">
        <x:v>10.7</x:v>
      </x:c>
      <x:c r="O91" s="42" t="n">
        <x:v>4565</x:v>
      </x:c>
      <x:c r="P91" s="42" t="n">
        <x:v>4565</x:v>
      </x:c>
      <x:c r="Q91" s="42" t="n">
        <x:v>4565</x:v>
      </x:c>
      <x:c r="R91" s="42" t="n">
        <x:v>500</x:v>
      </x:c>
      <x:c r="S91" s="42" t="n">
        <x:v>1700</x:v>
      </x:c>
      <x:c r="T91" s="4" t="str">
        <x:v>Y</x:v>
      </x:c>
      <x:c r="U91" s="4" t="str">
        <x:v>Y</x:v>
      </x:c>
      <x:c r="V91" s="14" t="str">
        <x:v>소형 차량</x:v>
      </x:c>
    </x:row>
    <x:row r="92" ht="22" customHeight="1">
      <x:c r="A92" s="4" t="str">
        <x:v>S08_S09</x:v>
      </x:c>
      <x:c r="B92" s="4" t="str">
        <x:v>S08</x:v>
      </x:c>
      <x:c r="C92" s="4" t="str">
        <x:v>S09</x:v>
      </x:c>
      <x:c r="D92" s="4" t="str">
        <x:v>S08</x:v>
      </x:c>
      <x:c r="E92" s="4" t="str">
        <x:v>S09</x:v>
      </x:c>
      <x:c r="F92" s="4" t="str">
        <x:v>용산점</x:v>
      </x:c>
      <x:c r="G92" s="4" t="str">
        <x:v>상암점</x:v>
      </x:c>
      <x:c r="H92" s="4" t="str">
        <x:v>STORE_TO_STORE</x:v>
      </x:c>
      <x:c r="I92" s="42" t="n">
        <x:v>10.37</x:v>
      </x:c>
      <x:c r="J92" s="42" t="n">
        <x:v>10.37</x:v>
      </x:c>
      <x:c r="K92" s="42" t="n">
        <x:v>10.37</x:v>
      </x:c>
      <x:c r="L92" s="42" t="n">
        <x:v>19.4</x:v>
      </x:c>
      <x:c r="M92" s="42" t="n">
        <x:v>19.4</x:v>
      </x:c>
      <x:c r="N92" s="42" t="n">
        <x:v>19.4</x:v>
      </x:c>
      <x:c r="O92" s="42" t="n">
        <x:v>6885</x:v>
      </x:c>
      <x:c r="P92" s="42" t="n">
        <x:v>6885</x:v>
      </x:c>
      <x:c r="Q92" s="42" t="n">
        <x:v>6885</x:v>
      </x:c>
      <x:c r="R92" s="42" t="n">
        <x:v>500</x:v>
      </x:c>
      <x:c r="S92" s="42" t="n">
        <x:v>1700</x:v>
      </x:c>
      <x:c r="T92" s="4" t="str">
        <x:v>Y</x:v>
      </x:c>
      <x:c r="U92" s="4" t="str">
        <x:v>Y</x:v>
      </x:c>
      <x:c r="V92" s="14" t="str">
        <x:v>트럭</x:v>
      </x:c>
    </x:row>
    <x:row r="93" ht="22" customHeight="1">
      <x:c r="A93" s="4" t="str">
        <x:v>S08_S10</x:v>
      </x:c>
      <x:c r="B93" s="4" t="str">
        <x:v>S08</x:v>
      </x:c>
      <x:c r="C93" s="4" t="str">
        <x:v>S10</x:v>
      </x:c>
      <x:c r="D93" s="4" t="str">
        <x:v>S08</x:v>
      </x:c>
      <x:c r="E93" s="4" t="str">
        <x:v>S10</x:v>
      </x:c>
      <x:c r="F93" s="4" t="str">
        <x:v>용산점</x:v>
      </x:c>
      <x:c r="G93" s="4" t="str">
        <x:v>구파발점</x:v>
      </x:c>
      <x:c r="H93" s="4" t="str">
        <x:v>STORE_TO_STORE</x:v>
      </x:c>
      <x:c r="I93" s="42" t="n">
        <x:v>15.11</x:v>
      </x:c>
      <x:c r="J93" s="42" t="n">
        <x:v>15.11</x:v>
      </x:c>
      <x:c r="K93" s="42" t="n">
        <x:v>15.11</x:v>
      </x:c>
      <x:c r="L93" s="42" t="n">
        <x:v>28.3</x:v>
      </x:c>
      <x:c r="M93" s="42" t="n">
        <x:v>28.3</x:v>
      </x:c>
      <x:c r="N93" s="42" t="n">
        <x:v>28.3</x:v>
      </x:c>
      <x:c r="O93" s="42" t="n">
        <x:v>3620</x:v>
      </x:c>
      <x:c r="P93" s="42" t="n">
        <x:v>3620</x:v>
      </x:c>
      <x:c r="Q93" s="42" t="n">
        <x:v>3620</x:v>
      </x:c>
      <x:c r="R93" s="42" t="n">
        <x:v>500</x:v>
      </x:c>
      <x:c r="S93" s="42" t="n">
        <x:v>1700</x:v>
      </x:c>
      <x:c r="T93" s="4" t="str">
        <x:v>Y</x:v>
      </x:c>
      <x:c r="U93" s="4" t="str">
        <x:v>Y</x:v>
      </x:c>
      <x:c r="V93" s="14" t="str">
        <x:v>트럭</x:v>
      </x:c>
    </x:row>
    <x:row r="94" ht="22" customHeight="1">
      <x:c r="A94" s="4" t="str">
        <x:v>S09_S01</x:v>
      </x:c>
      <x:c r="B94" s="4" t="str">
        <x:v>S09</x:v>
      </x:c>
      <x:c r="C94" s="4" t="str">
        <x:v>S01</x:v>
      </x:c>
      <x:c r="D94" s="4" t="str">
        <x:v>S09</x:v>
      </x:c>
      <x:c r="E94" s="4" t="str">
        <x:v>S01</x:v>
      </x:c>
      <x:c r="F94" s="4" t="str">
        <x:v>상암점</x:v>
      </x:c>
      <x:c r="G94" s="4" t="str">
        <x:v>연신내점</x:v>
      </x:c>
      <x:c r="H94" s="4" t="str">
        <x:v>STORE_TO_STORE</x:v>
      </x:c>
      <x:c r="I94" s="42" t="n">
        <x:v>6.42</x:v>
      </x:c>
      <x:c r="J94" s="42" t="n">
        <x:v>6.42</x:v>
      </x:c>
      <x:c r="K94" s="42" t="n">
        <x:v>6.42</x:v>
      </x:c>
      <x:c r="L94" s="42" t="n">
        <x:v>12</x:v>
      </x:c>
      <x:c r="M94" s="42" t="n">
        <x:v>12</x:v>
      </x:c>
      <x:c r="N94" s="42" t="n">
        <x:v>12</x:v>
      </x:c>
      <x:c r="O94" s="42" t="n">
        <x:v>4910</x:v>
      </x:c>
      <x:c r="P94" s="42" t="n">
        <x:v>4910</x:v>
      </x:c>
      <x:c r="Q94" s="42" t="n">
        <x:v>4910</x:v>
      </x:c>
      <x:c r="R94" s="42" t="n">
        <x:v>500</x:v>
      </x:c>
      <x:c r="S94" s="42" t="n">
        <x:v>1700</x:v>
      </x:c>
      <x:c r="T94" s="4" t="str">
        <x:v>Y</x:v>
      </x:c>
      <x:c r="U94" s="4" t="str">
        <x:v>Y</x:v>
      </x:c>
      <x:c r="V94" s="14" t="str">
        <x:v>소형 차량</x:v>
      </x:c>
    </x:row>
    <x:row r="95" ht="22" customHeight="1">
      <x:c r="A95" s="4" t="str">
        <x:v>S09_S02</x:v>
      </x:c>
      <x:c r="B95" s="4" t="str">
        <x:v>S09</x:v>
      </x:c>
      <x:c r="C95" s="4" t="str">
        <x:v>S02</x:v>
      </x:c>
      <x:c r="D95" s="4" t="str">
        <x:v>S09</x:v>
      </x:c>
      <x:c r="E95" s="4" t="str">
        <x:v>S02</x:v>
      </x:c>
      <x:c r="F95" s="4" t="str">
        <x:v>상암점</x:v>
      </x:c>
      <x:c r="G95" s="4" t="str">
        <x:v>불광점</x:v>
      </x:c>
      <x:c r="H95" s="4" t="str">
        <x:v>STORE_TO_STORE</x:v>
      </x:c>
      <x:c r="I95" s="42" t="n">
        <x:v>6.09</x:v>
      </x:c>
      <x:c r="J95" s="42" t="n">
        <x:v>6.09</x:v>
      </x:c>
      <x:c r="K95" s="42" t="n">
        <x:v>6.09</x:v>
      </x:c>
      <x:c r="L95" s="42" t="n">
        <x:v>11.4</x:v>
      </x:c>
      <x:c r="M95" s="42" t="n">
        <x:v>11.4</x:v>
      </x:c>
      <x:c r="N95" s="42" t="n">
        <x:v>11.4</x:v>
      </x:c>
      <x:c r="O95" s="42" t="n">
        <x:v>4745</x:v>
      </x:c>
      <x:c r="P95" s="42" t="n">
        <x:v>4745</x:v>
      </x:c>
      <x:c r="Q95" s="42" t="n">
        <x:v>4745</x:v>
      </x:c>
      <x:c r="R95" s="42" t="n">
        <x:v>500</x:v>
      </x:c>
      <x:c r="S95" s="42" t="n">
        <x:v>1700</x:v>
      </x:c>
      <x:c r="T95" s="4" t="str">
        <x:v>Y</x:v>
      </x:c>
      <x:c r="U95" s="4" t="str">
        <x:v>Y</x:v>
      </x:c>
      <x:c r="V95" s="14" t="str">
        <x:v>소형 차량</x:v>
      </x:c>
    </x:row>
    <x:row r="96" ht="22" customHeight="1">
      <x:c r="A96" s="4" t="str">
        <x:v>S09_S03</x:v>
      </x:c>
      <x:c r="B96" s="4" t="str">
        <x:v>S09</x:v>
      </x:c>
      <x:c r="C96" s="4" t="str">
        <x:v>S03</x:v>
      </x:c>
      <x:c r="D96" s="4" t="str">
        <x:v>S09</x:v>
      </x:c>
      <x:c r="E96" s="4" t="str">
        <x:v>S03</x:v>
      </x:c>
      <x:c r="F96" s="4" t="str">
        <x:v>상암점</x:v>
      </x:c>
      <x:c r="G96" s="4" t="str">
        <x:v>응암점</x:v>
      </x:c>
      <x:c r="H96" s="4" t="str">
        <x:v>STORE_TO_STORE</x:v>
      </x:c>
      <x:c r="I96" s="42" t="n">
        <x:v>3.8</x:v>
      </x:c>
      <x:c r="J96" s="42" t="n">
        <x:v>3.8</x:v>
      </x:c>
      <x:c r="K96" s="42" t="n">
        <x:v>3.8</x:v>
      </x:c>
      <x:c r="L96" s="42" t="n">
        <x:v>7.1</x:v>
      </x:c>
      <x:c r="M96" s="42" t="n">
        <x:v>7.1</x:v>
      </x:c>
      <x:c r="N96" s="42" t="n">
        <x:v>7.1</x:v>
      </x:c>
      <x:c r="O96" s="42" t="n">
        <x:v>3600</x:v>
      </x:c>
      <x:c r="P96" s="42" t="n">
        <x:v>3600</x:v>
      </x:c>
      <x:c r="Q96" s="42" t="n">
        <x:v>3600</x:v>
      </x:c>
      <x:c r="R96" s="42" t="n">
        <x:v>500</x:v>
      </x:c>
      <x:c r="S96" s="42" t="n">
        <x:v>1700</x:v>
      </x:c>
      <x:c r="T96" s="4" t="str">
        <x:v>Y</x:v>
      </x:c>
      <x:c r="U96" s="4" t="str">
        <x:v>Y</x:v>
      </x:c>
      <x:c r="V96" s="14" t="str">
        <x:v>소형 차량</x:v>
      </x:c>
    </x:row>
    <x:row r="97" ht="22" customHeight="1">
      <x:c r="A97" s="4" t="str">
        <x:v>S09_S04</x:v>
      </x:c>
      <x:c r="B97" s="4" t="str">
        <x:v>S09</x:v>
      </x:c>
      <x:c r="C97" s="4" t="str">
        <x:v>S04</x:v>
      </x:c>
      <x:c r="D97" s="4" t="str">
        <x:v>S09</x:v>
      </x:c>
      <x:c r="E97" s="4" t="str">
        <x:v>S04</x:v>
      </x:c>
      <x:c r="F97" s="4" t="str">
        <x:v>상암점</x:v>
      </x:c>
      <x:c r="G97" s="4" t="str">
        <x:v>홍제점</x:v>
      </x:c>
      <x:c r="H97" s="4" t="str">
        <x:v>STORE_TO_STORE</x:v>
      </x:c>
      <x:c r="I97" s="42" t="n">
        <x:v>5.96</x:v>
      </x:c>
      <x:c r="J97" s="42" t="n">
        <x:v>5.96</x:v>
      </x:c>
      <x:c r="K97" s="42" t="n">
        <x:v>5.96</x:v>
      </x:c>
      <x:c r="L97" s="42" t="n">
        <x:v>11.2</x:v>
      </x:c>
      <x:c r="M97" s="42" t="n">
        <x:v>11.2</x:v>
      </x:c>
      <x:c r="N97" s="42" t="n">
        <x:v>11.2</x:v>
      </x:c>
      <x:c r="O97" s="42" t="n">
        <x:v>4680</x:v>
      </x:c>
      <x:c r="P97" s="42" t="n">
        <x:v>4680</x:v>
      </x:c>
      <x:c r="Q97" s="42" t="n">
        <x:v>4680</x:v>
      </x:c>
      <x:c r="R97" s="42" t="n">
        <x:v>500</x:v>
      </x:c>
      <x:c r="S97" s="42" t="n">
        <x:v>1700</x:v>
      </x:c>
      <x:c r="T97" s="4" t="str">
        <x:v>Y</x:v>
      </x:c>
      <x:c r="U97" s="4" t="str">
        <x:v>Y</x:v>
      </x:c>
      <x:c r="V97" s="14" t="str">
        <x:v>소형 차량</x:v>
      </x:c>
    </x:row>
    <x:row r="98" ht="22" customHeight="1">
      <x:c r="A98" s="4" t="str">
        <x:v>S09_S05</x:v>
      </x:c>
      <x:c r="B98" s="4" t="str">
        <x:v>S09</x:v>
      </x:c>
      <x:c r="C98" s="4" t="str">
        <x:v>S05</x:v>
      </x:c>
      <x:c r="D98" s="4" t="str">
        <x:v>S09</x:v>
      </x:c>
      <x:c r="E98" s="4" t="str">
        <x:v>S05</x:v>
      </x:c>
      <x:c r="F98" s="4" t="str">
        <x:v>상암점</x:v>
      </x:c>
      <x:c r="G98" s="4" t="str">
        <x:v>신촌점</x:v>
      </x:c>
      <x:c r="H98" s="4" t="str">
        <x:v>STORE_TO_STORE</x:v>
      </x:c>
      <x:c r="I98" s="42" t="n">
        <x:v>6.03</x:v>
      </x:c>
      <x:c r="J98" s="42" t="n">
        <x:v>6.03</x:v>
      </x:c>
      <x:c r="K98" s="42" t="n">
        <x:v>6.03</x:v>
      </x:c>
      <x:c r="L98" s="42" t="n">
        <x:v>11.3</x:v>
      </x:c>
      <x:c r="M98" s="42" t="n">
        <x:v>11.3</x:v>
      </x:c>
      <x:c r="N98" s="42" t="n">
        <x:v>11.3</x:v>
      </x:c>
      <x:c r="O98" s="42" t="n">
        <x:v>9120</x:v>
      </x:c>
      <x:c r="P98" s="42" t="n">
        <x:v>9120</x:v>
      </x:c>
      <x:c r="Q98" s="42" t="n">
        <x:v>9120</x:v>
      </x:c>
      <x:c r="R98" s="42" t="n">
        <x:v>500</x:v>
      </x:c>
      <x:c r="S98" s="42" t="n">
        <x:v>1700</x:v>
      </x:c>
      <x:c r="T98" s="4" t="str">
        <x:v>Y</x:v>
      </x:c>
      <x:c r="U98" s="4" t="str">
        <x:v>Y</x:v>
      </x:c>
      <x:c r="V98" s="14" t="str">
        <x:v>소형 차량</x:v>
      </x:c>
    </x:row>
    <x:row r="99" ht="22" customHeight="1">
      <x:c r="A99" s="4" t="str">
        <x:v>S09_S06</x:v>
      </x:c>
      <x:c r="B99" s="4" t="str">
        <x:v>S09</x:v>
      </x:c>
      <x:c r="C99" s="4" t="str">
        <x:v>S06</x:v>
      </x:c>
      <x:c r="D99" s="4" t="str">
        <x:v>S09</x:v>
      </x:c>
      <x:c r="E99" s="4" t="str">
        <x:v>S06</x:v>
      </x:c>
      <x:c r="F99" s="4" t="str">
        <x:v>상암점</x:v>
      </x:c>
      <x:c r="G99" s="4" t="str">
        <x:v>마포점</x:v>
      </x:c>
      <x:c r="H99" s="4" t="str">
        <x:v>STORE_TO_STORE</x:v>
      </x:c>
      <x:c r="I99" s="42" t="n">
        <x:v>8.25</x:v>
      </x:c>
      <x:c r="J99" s="42" t="n">
        <x:v>8.25</x:v>
      </x:c>
      <x:c r="K99" s="42" t="n">
        <x:v>8.25</x:v>
      </x:c>
      <x:c r="L99" s="42" t="n">
        <x:v>15.5</x:v>
      </x:c>
      <x:c r="M99" s="42" t="n">
        <x:v>15.5</x:v>
      </x:c>
      <x:c r="N99" s="42" t="n">
        <x:v>15.5</x:v>
      </x:c>
      <x:c r="O99" s="42" t="n">
        <x:v>5825</x:v>
      </x:c>
      <x:c r="P99" s="42" t="n">
        <x:v>5825</x:v>
      </x:c>
      <x:c r="Q99" s="42" t="n">
        <x:v>5825</x:v>
      </x:c>
      <x:c r="R99" s="42" t="n">
        <x:v>500</x:v>
      </x:c>
      <x:c r="S99" s="42" t="n">
        <x:v>1700</x:v>
      </x:c>
      <x:c r="T99" s="4" t="str">
        <x:v>Y</x:v>
      </x:c>
      <x:c r="U99" s="4" t="str">
        <x:v>Y</x:v>
      </x:c>
      <x:c r="V99" s="14" t="str">
        <x:v>트럭</x:v>
      </x:c>
    </x:row>
    <x:row r="100" ht="22" customHeight="1">
      <x:c r="A100" s="4" t="str">
        <x:v>S09_S07</x:v>
      </x:c>
      <x:c r="B100" s="4" t="str">
        <x:v>S09</x:v>
      </x:c>
      <x:c r="C100" s="4" t="str">
        <x:v>S07</x:v>
      </x:c>
      <x:c r="D100" s="4" t="str">
        <x:v>S09</x:v>
      </x:c>
      <x:c r="E100" s="4" t="str">
        <x:v>S07</x:v>
      </x:c>
      <x:c r="F100" s="4" t="str">
        <x:v>상암점</x:v>
      </x:c>
      <x:c r="G100" s="4" t="str">
        <x:v>종로점</x:v>
      </x:c>
      <x:c r="H100" s="4" t="str">
        <x:v>STORE_TO_STORE</x:v>
      </x:c>
      <x:c r="I100" s="42" t="n">
        <x:v>10.04</x:v>
      </x:c>
      <x:c r="J100" s="42" t="n">
        <x:v>10.04</x:v>
      </x:c>
      <x:c r="K100" s="42" t="n">
        <x:v>10.04</x:v>
      </x:c>
      <x:c r="L100" s="42" t="n">
        <x:v>18.8</x:v>
      </x:c>
      <x:c r="M100" s="42" t="n">
        <x:v>18.8</x:v>
      </x:c>
      <x:c r="N100" s="42" t="n">
        <x:v>18.8</x:v>
      </x:c>
      <x:c r="O100" s="42" t="n">
        <x:v>6720</x:v>
      </x:c>
      <x:c r="P100" s="42" t="n">
        <x:v>6720</x:v>
      </x:c>
      <x:c r="Q100" s="42" t="n">
        <x:v>6720</x:v>
      </x:c>
      <x:c r="R100" s="42" t="n">
        <x:v>500</x:v>
      </x:c>
      <x:c r="S100" s="42" t="n">
        <x:v>1700</x:v>
      </x:c>
      <x:c r="T100" s="4" t="str">
        <x:v>Y</x:v>
      </x:c>
      <x:c r="U100" s="4" t="str">
        <x:v>Y</x:v>
      </x:c>
      <x:c r="V100" s="14" t="str">
        <x:v>트럭</x:v>
      </x:c>
    </x:row>
    <x:row r="101" ht="22" customHeight="1">
      <x:c r="A101" s="4" t="str">
        <x:v>S09_S08</x:v>
      </x:c>
      <x:c r="B101" s="4" t="str">
        <x:v>S09</x:v>
      </x:c>
      <x:c r="C101" s="4" t="str">
        <x:v>S08</x:v>
      </x:c>
      <x:c r="D101" s="4" t="str">
        <x:v>S09</x:v>
      </x:c>
      <x:c r="E101" s="4" t="str">
        <x:v>S08</x:v>
      </x:c>
      <x:c r="F101" s="4" t="str">
        <x:v>상암점</x:v>
      </x:c>
      <x:c r="G101" s="4" t="str">
        <x:v>용산점</x:v>
      </x:c>
      <x:c r="H101" s="4" t="str">
        <x:v>STORE_TO_STORE</x:v>
      </x:c>
      <x:c r="I101" s="42" t="n">
        <x:v>10.37</x:v>
      </x:c>
      <x:c r="J101" s="42" t="n">
        <x:v>10.37</x:v>
      </x:c>
      <x:c r="K101" s="42" t="n">
        <x:v>10.37</x:v>
      </x:c>
      <x:c r="L101" s="42" t="n">
        <x:v>19.4</x:v>
      </x:c>
      <x:c r="M101" s="42" t="n">
        <x:v>19.4</x:v>
      </x:c>
      <x:c r="N101" s="42" t="n">
        <x:v>19.4</x:v>
      </x:c>
      <x:c r="O101" s="42" t="n">
        <x:v>6885</x:v>
      </x:c>
      <x:c r="P101" s="42" t="n">
        <x:v>6885</x:v>
      </x:c>
      <x:c r="Q101" s="42" t="n">
        <x:v>6885</x:v>
      </x:c>
      <x:c r="R101" s="42" t="n">
        <x:v>500</x:v>
      </x:c>
      <x:c r="S101" s="42" t="n">
        <x:v>1700</x:v>
      </x:c>
      <x:c r="T101" s="4" t="str">
        <x:v>Y</x:v>
      </x:c>
      <x:c r="U101" s="4" t="str">
        <x:v>Y</x:v>
      </x:c>
      <x:c r="V101" s="14" t="str">
        <x:v>트럭</x:v>
      </x:c>
    </x:row>
    <x:row r="102" ht="22" customHeight="1">
      <x:c r="A102" s="4" t="str">
        <x:v>S09_S10</x:v>
      </x:c>
      <x:c r="B102" s="4" t="str">
        <x:v>S09</x:v>
      </x:c>
      <x:c r="C102" s="4" t="str">
        <x:v>S10</x:v>
      </x:c>
      <x:c r="D102" s="4" t="str">
        <x:v>S09</x:v>
      </x:c>
      <x:c r="E102" s="4" t="str">
        <x:v>S10</x:v>
      </x:c>
      <x:c r="F102" s="4" t="str">
        <x:v>상암점</x:v>
      </x:c>
      <x:c r="G102" s="4" t="str">
        <x:v>구파발점</x:v>
      </x:c>
      <x:c r="H102" s="4" t="str">
        <x:v>STORE_TO_STORE</x:v>
      </x:c>
      <x:c r="I102" s="42" t="n">
        <x:v>8.46</x:v>
      </x:c>
      <x:c r="J102" s="42" t="n">
        <x:v>8.46</x:v>
      </x:c>
      <x:c r="K102" s="42" t="n">
        <x:v>8.46</x:v>
      </x:c>
      <x:c r="L102" s="42" t="n">
        <x:v>15.9</x:v>
      </x:c>
      <x:c r="M102" s="42" t="n">
        <x:v>15.9</x:v>
      </x:c>
      <x:c r="N102" s="42" t="n">
        <x:v>15.9</x:v>
      </x:c>
      <x:c r="O102" s="42" t="n">
        <x:v>5930</x:v>
      </x:c>
      <x:c r="P102" s="42" t="n">
        <x:v>5930</x:v>
      </x:c>
      <x:c r="Q102" s="42" t="n">
        <x:v>5930</x:v>
      </x:c>
      <x:c r="R102" s="42" t="n">
        <x:v>500</x:v>
      </x:c>
      <x:c r="S102" s="42" t="n">
        <x:v>1700</x:v>
      </x:c>
      <x:c r="T102" s="4" t="str">
        <x:v>Y</x:v>
      </x:c>
      <x:c r="U102" s="4" t="str">
        <x:v>Y</x:v>
      </x:c>
      <x:c r="V102" s="14" t="str">
        <x:v>트럭</x:v>
      </x:c>
    </x:row>
    <x:row r="103" ht="22" customHeight="1">
      <x:c r="A103" s="4" t="str">
        <x:v>S10_S01</x:v>
      </x:c>
      <x:c r="B103" s="4" t="str">
        <x:v>S10</x:v>
      </x:c>
      <x:c r="C103" s="4" t="str">
        <x:v>S01</x:v>
      </x:c>
      <x:c r="D103" s="4" t="str">
        <x:v>S10</x:v>
      </x:c>
      <x:c r="E103" s="4" t="str">
        <x:v>S01</x:v>
      </x:c>
      <x:c r="F103" s="4" t="str">
        <x:v>구파발점</x:v>
      </x:c>
      <x:c r="G103" s="4" t="str">
        <x:v>연신내점</x:v>
      </x:c>
      <x:c r="H103" s="4" t="str">
        <x:v>STORE_TO_STORE</x:v>
      </x:c>
      <x:c r="I103" s="42" t="n">
        <x:v>2.46</x:v>
      </x:c>
      <x:c r="J103" s="42" t="n">
        <x:v>2.46</x:v>
      </x:c>
      <x:c r="K103" s="42" t="n">
        <x:v>2.46</x:v>
      </x:c>
      <x:c r="L103" s="42" t="n">
        <x:v>4.6</x:v>
      </x:c>
      <x:c r="M103" s="42" t="n">
        <x:v>4.6</x:v>
      </x:c>
      <x:c r="N103" s="42" t="n">
        <x:v>4.6</x:v>
      </x:c>
      <x:c r="O103" s="42" t="n">
        <x:v>2930</x:v>
      </x:c>
      <x:c r="P103" s="42" t="n">
        <x:v>2930</x:v>
      </x:c>
      <x:c r="Q103" s="42" t="n">
        <x:v>2930</x:v>
      </x:c>
      <x:c r="R103" s="42" t="n">
        <x:v>500</x:v>
      </x:c>
      <x:c r="S103" s="42" t="n">
        <x:v>1700</x:v>
      </x:c>
      <x:c r="T103" s="4" t="str">
        <x:v>Y</x:v>
      </x:c>
      <x:c r="U103" s="4" t="str">
        <x:v>Y</x:v>
      </x:c>
      <x:c r="V103" s="14" t="str">
        <x:v>소형 차량</x:v>
      </x:c>
    </x:row>
    <x:row r="104" ht="22" customHeight="1">
      <x:c r="A104" s="4" t="str">
        <x:v>S10_S02</x:v>
      </x:c>
      <x:c r="B104" s="4" t="str">
        <x:v>S10</x:v>
      </x:c>
      <x:c r="C104" s="4" t="str">
        <x:v>S02</x:v>
      </x:c>
      <x:c r="D104" s="4" t="str">
        <x:v>S10</x:v>
      </x:c>
      <x:c r="E104" s="4" t="str">
        <x:v>S02</x:v>
      </x:c>
      <x:c r="F104" s="4" t="str">
        <x:v>구파발점</x:v>
      </x:c>
      <x:c r="G104" s="4" t="str">
        <x:v>불광점</x:v>
      </x:c>
      <x:c r="H104" s="4" t="str">
        <x:v>STORE_TO_STORE</x:v>
      </x:c>
      <x:c r="I104" s="42" t="n">
        <x:v>3.88</x:v>
      </x:c>
      <x:c r="J104" s="42" t="n">
        <x:v>3.88</x:v>
      </x:c>
      <x:c r="K104" s="42" t="n">
        <x:v>3.88</x:v>
      </x:c>
      <x:c r="L104" s="42" t="n">
        <x:v>7.3</x:v>
      </x:c>
      <x:c r="M104" s="42" t="n">
        <x:v>7.3</x:v>
      </x:c>
      <x:c r="N104" s="42" t="n">
        <x:v>7.3</x:v>
      </x:c>
      <x:c r="O104" s="42" t="n">
        <x:v>7722</x:v>
      </x:c>
      <x:c r="P104" s="42" t="n">
        <x:v>7722</x:v>
      </x:c>
      <x:c r="Q104" s="42" t="n">
        <x:v>7722</x:v>
      </x:c>
      <x:c r="R104" s="42" t="n">
        <x:v>500</x:v>
      </x:c>
      <x:c r="S104" s="42" t="n">
        <x:v>1700</x:v>
      </x:c>
      <x:c r="T104" s="4" t="str">
        <x:v>Y</x:v>
      </x:c>
      <x:c r="U104" s="4" t="str">
        <x:v>Y</x:v>
      </x:c>
      <x:c r="V104" s="14" t="str">
        <x:v>소형 차량</x:v>
      </x:c>
    </x:row>
    <x:row r="105" ht="22" customHeight="1">
      <x:c r="A105" s="4" t="str">
        <x:v>S10_S03</x:v>
      </x:c>
      <x:c r="B105" s="4" t="str">
        <x:v>S10</x:v>
      </x:c>
      <x:c r="C105" s="4" t="str">
        <x:v>S03</x:v>
      </x:c>
      <x:c r="D105" s="4" t="str">
        <x:v>S10</x:v>
      </x:c>
      <x:c r="E105" s="4" t="str">
        <x:v>S03</x:v>
      </x:c>
      <x:c r="F105" s="4" t="str">
        <x:v>구파발점</x:v>
      </x:c>
      <x:c r="G105" s="4" t="str">
        <x:v>응암점</x:v>
      </x:c>
      <x:c r="H105" s="4" t="str">
        <x:v>STORE_TO_STORE</x:v>
      </x:c>
      <x:c r="I105" s="42" t="n">
        <x:v>5.3</x:v>
      </x:c>
      <x:c r="J105" s="42" t="n">
        <x:v>5.3</x:v>
      </x:c>
      <x:c r="K105" s="42" t="n">
        <x:v>5.3</x:v>
      </x:c>
      <x:c r="L105" s="42" t="n">
        <x:v>9.9</x:v>
      </x:c>
      <x:c r="M105" s="42" t="n">
        <x:v>9.9</x:v>
      </x:c>
      <x:c r="N105" s="42" t="n">
        <x:v>9.9</x:v>
      </x:c>
      <x:c r="O105" s="42" t="n">
        <x:v>4350</x:v>
      </x:c>
      <x:c r="P105" s="42" t="n">
        <x:v>4350</x:v>
      </x:c>
      <x:c r="Q105" s="42" t="n">
        <x:v>4350</x:v>
      </x:c>
      <x:c r="R105" s="42" t="n">
        <x:v>500</x:v>
      </x:c>
      <x:c r="S105" s="42" t="n">
        <x:v>1700</x:v>
      </x:c>
      <x:c r="T105" s="4" t="str">
        <x:v>Y</x:v>
      </x:c>
      <x:c r="U105" s="4" t="str">
        <x:v>Y</x:v>
      </x:c>
      <x:c r="V105" s="14" t="str">
        <x:v>소형 차량</x:v>
      </x:c>
    </x:row>
    <x:row r="106" ht="22" customHeight="1">
      <x:c r="A106" s="4" t="str">
        <x:v>S10_S04</x:v>
      </x:c>
      <x:c r="B106" s="4" t="str">
        <x:v>S10</x:v>
      </x:c>
      <x:c r="C106" s="4" t="str">
        <x:v>S04</x:v>
      </x:c>
      <x:c r="D106" s="4" t="str">
        <x:v>S10</x:v>
      </x:c>
      <x:c r="E106" s="4" t="str">
        <x:v>S04</x:v>
      </x:c>
      <x:c r="F106" s="4" t="str">
        <x:v>구파발점</x:v>
      </x:c>
      <x:c r="G106" s="4" t="str">
        <x:v>홍제점</x:v>
      </x:c>
      <x:c r="H106" s="4" t="str">
        <x:v>STORE_TO_STORE</x:v>
      </x:c>
      <x:c r="I106" s="42" t="n">
        <x:v>7.04</x:v>
      </x:c>
      <x:c r="J106" s="42" t="n">
        <x:v>7.04</x:v>
      </x:c>
      <x:c r="K106" s="42" t="n">
        <x:v>7.04</x:v>
      </x:c>
      <x:c r="L106" s="42" t="n">
        <x:v>13.2</x:v>
      </x:c>
      <x:c r="M106" s="42" t="n">
        <x:v>13.2</x:v>
      </x:c>
      <x:c r="N106" s="42" t="n">
        <x:v>13.2</x:v>
      </x:c>
      <x:c r="O106" s="42" t="n">
        <x:v>5220</x:v>
      </x:c>
      <x:c r="P106" s="42" t="n">
        <x:v>5220</x:v>
      </x:c>
      <x:c r="Q106" s="42" t="n">
        <x:v>5220</x:v>
      </x:c>
      <x:c r="R106" s="42" t="n">
        <x:v>500</x:v>
      </x:c>
      <x:c r="S106" s="42" t="n">
        <x:v>1700</x:v>
      </x:c>
      <x:c r="T106" s="4" t="str">
        <x:v>Y</x:v>
      </x:c>
      <x:c r="U106" s="4" t="str">
        <x:v>Y</x:v>
      </x:c>
      <x:c r="V106" s="14" t="str">
        <x:v>소형 차량</x:v>
      </x:c>
    </x:row>
    <x:row r="107" ht="22" customHeight="1">
      <x:c r="A107" s="4" t="str">
        <x:v>S10_S05</x:v>
      </x:c>
      <x:c r="B107" s="4" t="str">
        <x:v>S10</x:v>
      </x:c>
      <x:c r="C107" s="4" t="str">
        <x:v>S05</x:v>
      </x:c>
      <x:c r="D107" s="4" t="str">
        <x:v>S10</x:v>
      </x:c>
      <x:c r="E107" s="4" t="str">
        <x:v>S05</x:v>
      </x:c>
      <x:c r="F107" s="4" t="str">
        <x:v>구파발점</x:v>
      </x:c>
      <x:c r="G107" s="4" t="str">
        <x:v>신촌점</x:v>
      </x:c>
      <x:c r="H107" s="4" t="str">
        <x:v>STORE_TO_STORE</x:v>
      </x:c>
      <x:c r="I107" s="42" t="n">
        <x:v>11.18</x:v>
      </x:c>
      <x:c r="J107" s="42" t="n">
        <x:v>11.18</x:v>
      </x:c>
      <x:c r="K107" s="42" t="n">
        <x:v>11.18</x:v>
      </x:c>
      <x:c r="L107" s="42" t="n">
        <x:v>21</x:v>
      </x:c>
      <x:c r="M107" s="42" t="n">
        <x:v>21</x:v>
      </x:c>
      <x:c r="N107" s="42" t="n">
        <x:v>21</x:v>
      </x:c>
      <x:c r="O107" s="42" t="n">
        <x:v>7290</x:v>
      </x:c>
      <x:c r="P107" s="42" t="n">
        <x:v>7290</x:v>
      </x:c>
      <x:c r="Q107" s="42" t="n">
        <x:v>7290</x:v>
      </x:c>
      <x:c r="R107" s="42" t="n">
        <x:v>500</x:v>
      </x:c>
      <x:c r="S107" s="42" t="n">
        <x:v>1700</x:v>
      </x:c>
      <x:c r="T107" s="4" t="str">
        <x:v>Y</x:v>
      </x:c>
      <x:c r="U107" s="4" t="str">
        <x:v>Y</x:v>
      </x:c>
      <x:c r="V107" s="14" t="str">
        <x:v>트럭</x:v>
      </x:c>
    </x:row>
    <x:row r="108" ht="22" customHeight="1">
      <x:c r="A108" s="4" t="str">
        <x:v>S10_S06</x:v>
      </x:c>
      <x:c r="B108" s="4" t="str">
        <x:v>S10</x:v>
      </x:c>
      <x:c r="C108" s="4" t="str">
        <x:v>S06</x:v>
      </x:c>
      <x:c r="D108" s="4" t="str">
        <x:v>S10</x:v>
      </x:c>
      <x:c r="E108" s="4" t="str">
        <x:v>S06</x:v>
      </x:c>
      <x:c r="F108" s="4" t="str">
        <x:v>구파발점</x:v>
      </x:c>
      <x:c r="G108" s="4" t="str">
        <x:v>마포점</x:v>
      </x:c>
      <x:c r="H108" s="4" t="str">
        <x:v>STORE_TO_STORE</x:v>
      </x:c>
      <x:c r="I108" s="42" t="n">
        <x:v>12.71</x:v>
      </x:c>
      <x:c r="J108" s="42" t="n">
        <x:v>12.71</x:v>
      </x:c>
      <x:c r="K108" s="42" t="n">
        <x:v>12.71</x:v>
      </x:c>
      <x:c r="L108" s="42" t="n">
        <x:v>23.8</x:v>
      </x:c>
      <x:c r="M108" s="42" t="n">
        <x:v>23.8</x:v>
      </x:c>
      <x:c r="N108" s="42" t="n">
        <x:v>23.8</x:v>
      </x:c>
      <x:c r="O108" s="42" t="n">
        <x:v>8055</x:v>
      </x:c>
      <x:c r="P108" s="42" t="n">
        <x:v>8055</x:v>
      </x:c>
      <x:c r="Q108" s="42" t="n">
        <x:v>8055</x:v>
      </x:c>
      <x:c r="R108" s="42" t="n">
        <x:v>500</x:v>
      </x:c>
      <x:c r="S108" s="42" t="n">
        <x:v>1700</x:v>
      </x:c>
      <x:c r="T108" s="4" t="str">
        <x:v>Y</x:v>
      </x:c>
      <x:c r="U108" s="4" t="str">
        <x:v>Y</x:v>
      </x:c>
      <x:c r="V108" s="14" t="str">
        <x:v>트럭</x:v>
      </x:c>
    </x:row>
    <x:row r="109" ht="22" customHeight="1">
      <x:c r="A109" s="4" t="str">
        <x:v>S10_S07</x:v>
      </x:c>
      <x:c r="B109" s="4" t="str">
        <x:v>S10</x:v>
      </x:c>
      <x:c r="C109" s="4" t="str">
        <x:v>S07</x:v>
      </x:c>
      <x:c r="D109" s="4" t="str">
        <x:v>S10</x:v>
      </x:c>
      <x:c r="E109" s="4" t="str">
        <x:v>S07</x:v>
      </x:c>
      <x:c r="F109" s="4" t="str">
        <x:v>구파발점</x:v>
      </x:c>
      <x:c r="G109" s="4" t="str">
        <x:v>종로점</x:v>
      </x:c>
      <x:c r="H109" s="4" t="str">
        <x:v>STORE_TO_STORE</x:v>
      </x:c>
      <x:c r="I109" s="42" t="n">
        <x:v>11.18</x:v>
      </x:c>
      <x:c r="J109" s="42" t="n">
        <x:v>11.18</x:v>
      </x:c>
      <x:c r="K109" s="42" t="n">
        <x:v>11.18</x:v>
      </x:c>
      <x:c r="L109" s="42" t="n">
        <x:v>21</x:v>
      </x:c>
      <x:c r="M109" s="42" t="n">
        <x:v>21</x:v>
      </x:c>
      <x:c r="N109" s="42" t="n">
        <x:v>21</x:v>
      </x:c>
      <x:c r="O109" s="42" t="n">
        <x:v>7290</x:v>
      </x:c>
      <x:c r="P109" s="42" t="n">
        <x:v>7290</x:v>
      </x:c>
      <x:c r="Q109" s="42" t="n">
        <x:v>7290</x:v>
      </x:c>
      <x:c r="R109" s="42" t="n">
        <x:v>500</x:v>
      </x:c>
      <x:c r="S109" s="42" t="n">
        <x:v>1700</x:v>
      </x:c>
      <x:c r="T109" s="4" t="str">
        <x:v>Y</x:v>
      </x:c>
      <x:c r="U109" s="4" t="str">
        <x:v>Y</x:v>
      </x:c>
      <x:c r="V109" s="14" t="str">
        <x:v>트럭</x:v>
      </x:c>
    </x:row>
    <x:row r="110" ht="22" customHeight="1">
      <x:c r="A110" s="4" t="str">
        <x:v>S10_S08</x:v>
      </x:c>
      <x:c r="B110" s="4" t="str">
        <x:v>S10</x:v>
      </x:c>
      <x:c r="C110" s="4" t="str">
        <x:v>S08</x:v>
      </x:c>
      <x:c r="D110" s="4" t="str">
        <x:v>S10</x:v>
      </x:c>
      <x:c r="E110" s="4" t="str">
        <x:v>S08</x:v>
      </x:c>
      <x:c r="F110" s="4" t="str">
        <x:v>구파발점</x:v>
      </x:c>
      <x:c r="G110" s="4" t="str">
        <x:v>용산점</x:v>
      </x:c>
      <x:c r="H110" s="4" t="str">
        <x:v>STORE_TO_STORE</x:v>
      </x:c>
      <x:c r="I110" s="42" t="n">
        <x:v>15.11</x:v>
      </x:c>
      <x:c r="J110" s="42" t="n">
        <x:v>15.11</x:v>
      </x:c>
      <x:c r="K110" s="42" t="n">
        <x:v>15.11</x:v>
      </x:c>
      <x:c r="L110" s="42" t="n">
        <x:v>28.3</x:v>
      </x:c>
      <x:c r="M110" s="42" t="n">
        <x:v>28.3</x:v>
      </x:c>
      <x:c r="N110" s="42" t="n">
        <x:v>28.3</x:v>
      </x:c>
      <x:c r="O110" s="42" t="n">
        <x:v>3620</x:v>
      </x:c>
      <x:c r="P110" s="42" t="n">
        <x:v>3620</x:v>
      </x:c>
      <x:c r="Q110" s="42" t="n">
        <x:v>3620</x:v>
      </x:c>
      <x:c r="R110" s="42" t="n">
        <x:v>500</x:v>
      </x:c>
      <x:c r="S110" s="42" t="n">
        <x:v>1700</x:v>
      </x:c>
      <x:c r="T110" s="4" t="str">
        <x:v>Y</x:v>
      </x:c>
      <x:c r="U110" s="4" t="str">
        <x:v>Y</x:v>
      </x:c>
      <x:c r="V110" s="14" t="str">
        <x:v>트럭</x:v>
      </x:c>
    </x:row>
    <x:row r="111" ht="22" customHeight="1">
      <x:c r="A111" s="15" t="str">
        <x:v>S10_S09</x:v>
      </x:c>
      <x:c r="B111" s="15" t="str">
        <x:v>S10</x:v>
      </x:c>
      <x:c r="C111" s="15" t="str">
        <x:v>S09</x:v>
      </x:c>
      <x:c r="D111" s="15" t="str">
        <x:v>S10</x:v>
      </x:c>
      <x:c r="E111" s="15" t="str">
        <x:v>S09</x:v>
      </x:c>
      <x:c r="F111" s="15" t="str">
        <x:v>구파발점</x:v>
      </x:c>
      <x:c r="G111" s="15" t="str">
        <x:v>상암점</x:v>
      </x:c>
      <x:c r="H111" s="15" t="str">
        <x:v>STORE_TO_STORE</x:v>
      </x:c>
      <x:c r="I111" s="44" t="n">
        <x:v>8.46</x:v>
      </x:c>
      <x:c r="J111" s="44" t="n">
        <x:v>8.46</x:v>
      </x:c>
      <x:c r="K111" s="44" t="n">
        <x:v>8.46</x:v>
      </x:c>
      <x:c r="L111" s="44" t="n">
        <x:v>15.9</x:v>
      </x:c>
      <x:c r="M111" s="44" t="n">
        <x:v>15.9</x:v>
      </x:c>
      <x:c r="N111" s="44" t="n">
        <x:v>15.9</x:v>
      </x:c>
      <x:c r="O111" s="44" t="n">
        <x:v>5930</x:v>
      </x:c>
      <x:c r="P111" s="44" t="n">
        <x:v>5930</x:v>
      </x:c>
      <x:c r="Q111" s="44" t="n">
        <x:v>5930</x:v>
      </x:c>
      <x:c r="R111" s="44" t="n">
        <x:v>500</x:v>
      </x:c>
      <x:c r="S111" s="44" t="n">
        <x:v>1700</x:v>
      </x:c>
      <x:c r="T111" s="15" t="str">
        <x:v>Y</x:v>
      </x:c>
      <x:c r="U111" s="15" t="str">
        <x:v>Y</x:v>
      </x:c>
      <x:c r="V111" s="16" t="str">
        <x:v>트럭</x:v>
      </x:c>
    </x:row>
    <x:row r="112"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</x:row>
    <x:row r="113"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</x:row>
    <x:row r="114"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</x:row>
    <x:row r="115"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</x:row>
    <x:row r="116"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</x:row>
    <x:row r="117"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</x:row>
    <x:row r="118"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</x:row>
    <x:row r="119"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</x:row>
    <x:row r="120"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</x:row>
    <x:row r="121"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</x:row>
    <x:row r="122"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</x:row>
    <x:row r="123"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</x:row>
    <x:row r="124"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</x:row>
    <x:row r="125"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</x:row>
    <x:row r="126"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</x:row>
    <x:row r="127"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</x:row>
    <x:row r="128"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</x:row>
    <x:row r="129"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</x:row>
    <x:row r="130"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</x:row>
    <x:row r="131"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</x:row>
    <x:row r="132"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</x:row>
    <x:row r="133"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</x:row>
    <x:row r="134"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</x:row>
    <x:row r="135"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</x:row>
    <x:row r="136"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</x:row>
    <x:row r="137"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</x:row>
    <x:row r="138"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</x:row>
    <x:row r="139"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</x:row>
    <x:row r="140"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</x:row>
    <x:row r="141"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</x:row>
    <x:row r="142"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</x:row>
    <x:row r="143"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</x:row>
    <x:row r="144"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</x:row>
    <x:row r="145"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</x:row>
    <x:row r="146"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</x:row>
    <x:row r="147"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</x:row>
    <x:row r="148"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</x:row>
    <x:row r="149"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</x:row>
    <x:row r="150"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</x:row>
    <x:row r="151"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</x:row>
    <x:row r="152"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</x:row>
    <x:row r="153"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</x:row>
    <x:row r="154"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</x:row>
    <x:row r="155"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</x:row>
    <x:row r="156"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</x:row>
    <x:row r="157"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</x:row>
    <x:row r="158"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</x:row>
    <x:row r="159"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</x:row>
    <x:row r="160"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</x:row>
    <x:row r="161"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</x:row>
    <x:row r="162"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</x:row>
    <x:row r="163"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</x:row>
    <x:row r="164"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</x:row>
    <x:row r="165"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</x:row>
    <x:row r="166"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</x:row>
    <x:row r="167"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</x:row>
    <x:row r="168"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</x:row>
    <x:row r="169"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</x:row>
    <x:row r="170"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</x:row>
    <x:row r="171"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</x:row>
    <x:row r="172"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</x:row>
    <x:row r="173"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</x:row>
    <x:row r="174"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</x:row>
    <x:row r="175"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</x:row>
    <x:row r="176"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</x:row>
    <x:row r="177"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</x:row>
    <x:row r="178"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</x:row>
    <x:row r="179"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</x:row>
    <x:row r="180"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</x:row>
    <x:row r="181"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</x:row>
    <x:row r="182"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</x:row>
    <x:row r="183"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</x:row>
    <x:row r="184"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</x:row>
    <x:row r="185"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</x:row>
    <x:row r="186"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</x:row>
    <x:row r="187"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</x:row>
    <x:row r="188"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</x:row>
    <x:row r="189"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</x:row>
    <x:row r="190"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</x:row>
    <x:row r="191"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</x:row>
    <x:row r="192"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</x:row>
    <x:row r="193"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</x:row>
    <x:row r="194"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</x:row>
    <x:row r="195"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</x:row>
    <x:row r="196"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</x:row>
    <x:row r="197"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</x:row>
    <x:row r="198"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</x:row>
    <x:row r="199"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</x:row>
    <x:row r="200"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</x:row>
    <x:row r="201"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</x:row>
    <x:row r="202"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</x:row>
    <x:row r="203"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</x:row>
    <x:row r="204"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</x:row>
    <x:row r="205"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</x:row>
    <x:row r="206"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</x:row>
    <x:row r="207"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</x:row>
    <x:row r="208"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</x:row>
    <x:row r="209"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</x:row>
    <x:row r="210"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</x:row>
    <x:row r="211"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</x:row>
    <x:row r="212"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</x:row>
    <x:row r="213"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</x:row>
    <x:row r="214"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</x:row>
    <x:row r="215"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</x:row>
    <x:row r="216"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</x:row>
    <x:row r="217"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</x:row>
    <x:row r="218"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</x:row>
    <x:row r="219"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</x:row>
    <x:row r="220"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</x:row>
    <x:row r="221"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</x:row>
    <x:row r="222"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</x:row>
    <x:row r="223"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</x:row>
    <x:row r="224"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</x:row>
    <x:row r="225"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</x:row>
    <x:row r="226"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</x:row>
    <x:row r="227"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</x:row>
    <x:row r="228"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</x:row>
    <x:row r="229"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</x:row>
    <x:row r="230"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</x:row>
    <x:row r="231"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</x:row>
    <x:row r="232"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</x:row>
    <x:row r="233"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</x:row>
    <x:row r="234"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</x:row>
    <x:row r="235"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</x:row>
    <x:row r="236"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</x:row>
    <x:row r="237"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</x:row>
    <x:row r="238"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</x:row>
    <x:row r="239"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</x:row>
    <x:row r="240"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</x:row>
    <x:row r="241"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</x:row>
    <x:row r="242"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</x:row>
    <x:row r="243"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</x:row>
    <x:row r="244"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</x:row>
    <x:row r="245"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</x:row>
    <x:row r="246"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</x:row>
    <x:row r="247"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</x:row>
    <x:row r="248"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</x:row>
    <x:row r="249"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</x:row>
    <x:row r="250"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</x:row>
    <x:row r="251"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</x:row>
    <x:row r="252"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</x:row>
    <x:row r="253"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</x:row>
    <x:row r="254"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</x:row>
    <x:row r="255"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</x:row>
    <x:row r="256"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</x:row>
    <x:row r="257"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</x:row>
    <x:row r="258"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</x:row>
    <x:row r="259"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</x:row>
    <x:row r="260"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</x:row>
    <x:row r="261"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</x:row>
    <x:row r="262"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</x:row>
    <x:row r="263"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</x:row>
    <x:row r="264"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</x:row>
    <x:row r="265"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</x:row>
    <x:row r="266"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</x:row>
    <x:row r="267"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</x:row>
    <x:row r="268"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</x:row>
    <x:row r="269"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</x:row>
    <x:row r="270"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</x:row>
    <x:row r="271"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</x:row>
    <x:row r="272"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</x:row>
    <x:row r="273"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</x:row>
    <x:row r="274"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</x:row>
    <x:row r="275"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</x:row>
    <x:row r="276"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</x:row>
    <x:row r="277"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</x:row>
    <x:row r="278"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</x:row>
    <x:row r="279"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</x:row>
    <x:row r="280"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</x:row>
    <x:row r="281"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</x:row>
    <x:row r="282"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</x:row>
    <x:row r="283"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</x:row>
    <x:row r="284"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</x:row>
    <x:row r="285"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</x:row>
    <x:row r="286"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</x:row>
    <x:row r="287"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</x:row>
    <x:row r="288"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</x:row>
    <x:row r="289"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</x:row>
    <x:row r="290"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</x:row>
    <x:row r="291"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</x:row>
    <x:row r="292"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</x:row>
    <x:row r="293"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</x:row>
    <x:row r="294"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</x:row>
    <x:row r="295"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</x:row>
    <x:row r="296"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</x:row>
    <x:row r="297"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</x:row>
    <x:row r="298"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</x:row>
    <x:row r="299"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</x:row>
    <x:row r="300"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</x:row>
    <x:row r="301"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</x:row>
    <x:row r="302"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</x:row>
    <x:row r="303"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</x:row>
    <x:row r="304"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</x:row>
    <x:row r="305"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</x:row>
    <x:row r="306"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</x:row>
    <x:row r="307"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</x:row>
    <x:row r="308"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</x:row>
    <x:row r="309"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</x:row>
    <x:row r="310"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</x:row>
    <x:row r="311"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</x:row>
    <x:row r="312"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</x:row>
    <x:row r="313"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</x:row>
    <x:row r="314"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</x:row>
    <x:row r="315"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</x:row>
    <x:row r="316"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</x:row>
    <x:row r="317"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</x:row>
    <x:row r="318"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</x:row>
    <x:row r="319"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</x:row>
    <x:row r="320"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</x:row>
    <x:row r="321"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</x:row>
    <x:row r="322"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</x:row>
    <x:row r="323"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</x:row>
    <x:row r="324"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</x:row>
    <x:row r="325"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</x:row>
    <x:row r="326"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</x:row>
    <x:row r="327"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</x:row>
    <x:row r="328"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</x:row>
    <x:row r="329"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</x:row>
    <x:row r="330"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</x:row>
    <x:row r="331"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</x:row>
    <x:row r="332"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</x:row>
    <x:row r="333"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</x:row>
    <x:row r="334"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</x:row>
    <x:row r="335"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</x:row>
    <x:row r="336"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</x:row>
    <x:row r="337"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</x:row>
    <x:row r="338"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</x:row>
    <x:row r="339"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</x:row>
    <x:row r="340"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</x:row>
    <x:row r="341"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</x:row>
    <x:row r="342"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</x:row>
    <x:row r="343"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</x:row>
    <x:row r="344"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</x:row>
    <x:row r="345"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</x:row>
    <x:row r="346"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</x:row>
    <x:row r="347"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</x:row>
    <x:row r="348"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</x:row>
    <x:row r="349"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</x:row>
    <x:row r="350"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</x:row>
    <x:row r="351"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</x:row>
    <x:row r="352"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</x:row>
    <x:row r="353"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</x:row>
    <x:row r="354"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</x:row>
    <x:row r="355"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</x:row>
    <x:row r="356"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</x:row>
    <x:row r="357"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</x:row>
    <x:row r="358"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</x:row>
    <x:row r="359"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</x:row>
    <x:row r="360"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</x:row>
    <x:row r="361"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</x:row>
    <x:row r="362"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</x:row>
    <x:row r="363"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</x:row>
    <x:row r="364"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</x:row>
    <x:row r="365"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</x:row>
    <x:row r="366"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</x:row>
    <x:row r="367"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</x:row>
    <x:row r="368"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</x:row>
    <x:row r="369"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</x:row>
    <x:row r="370"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</x:row>
    <x:row r="371"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</x:row>
    <x:row r="372"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</x:row>
    <x:row r="373"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</x:row>
    <x:row r="374"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</x:row>
    <x:row r="375"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</x:row>
    <x:row r="376"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</x:row>
    <x:row r="377"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</x:row>
    <x:row r="378"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</x:row>
    <x:row r="379"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</x:row>
    <x:row r="380"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</x:row>
    <x:row r="381"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</x:row>
    <x:row r="382"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</x:row>
    <x:row r="383"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</x:row>
    <x:row r="384"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</x:row>
    <x:row r="385"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</x:row>
    <x:row r="386"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</x:row>
    <x:row r="387"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</x:row>
    <x:row r="388"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</x:row>
    <x:row r="389"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</x:row>
    <x:row r="390"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</x:row>
    <x:row r="391"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</x:row>
    <x:row r="392"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</x:row>
    <x:row r="393"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</x:row>
    <x:row r="394"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</x:row>
    <x:row r="395"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</x:row>
    <x:row r="396"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</x:row>
    <x:row r="397"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</x:row>
    <x:row r="398"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</x:row>
    <x:row r="399"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</x:row>
    <x:row r="400"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</x:row>
    <x:row r="401"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</x:row>
    <x:row r="402"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</x:row>
    <x:row r="403"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</x:row>
    <x:row r="404"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</x:row>
    <x:row r="405"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</x:row>
    <x:row r="406"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</x:row>
    <x:row r="407"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</x:row>
    <x:row r="408"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</x:row>
    <x:row r="409"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</x:row>
    <x:row r="410"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</x:row>
    <x:row r="411"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</x:row>
    <x:row r="412"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</x:row>
    <x:row r="413"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</x:row>
    <x:row r="414"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</x:row>
    <x:row r="415"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</x:row>
    <x:row r="416"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</x:row>
    <x:row r="417"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</x:row>
    <x:row r="418"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</x:row>
    <x:row r="419"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</x:row>
    <x:row r="420"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</x:row>
    <x:row r="421"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</x:row>
    <x:row r="422"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</x:row>
    <x:row r="423"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</x:row>
    <x:row r="424"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</x:row>
    <x:row r="425"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</x:row>
    <x:row r="426"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</x:row>
    <x:row r="427"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</x:row>
    <x:row r="428"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</x:row>
    <x:row r="429"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</x:row>
    <x:row r="430"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</x:row>
    <x:row r="431"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</x:row>
    <x:row r="432"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</x:row>
    <x:row r="433"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</x:row>
    <x:row r="434"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</x:row>
    <x:row r="435"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</x:row>
    <x:row r="436"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</x:row>
    <x:row r="437"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</x:row>
    <x:row r="438"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</x:row>
    <x:row r="439"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</x:row>
    <x:row r="440"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</x:row>
    <x:row r="441"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</x:row>
    <x:row r="442"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</x:row>
    <x:row r="443"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</x:row>
    <x:row r="444"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</x:row>
    <x:row r="445"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</x:row>
    <x:row r="446"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</x:row>
    <x:row r="447"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</x:row>
    <x:row r="448"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</x:row>
    <x:row r="449"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</x:row>
    <x:row r="450"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</x:row>
    <x:row r="451"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</x:row>
    <x:row r="452"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</x:row>
    <x:row r="453"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</x:row>
    <x:row r="454"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</x:row>
    <x:row r="455"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</x:row>
    <x:row r="456"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</x:row>
    <x:row r="457"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</x:row>
    <x:row r="458"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</x:row>
    <x:row r="459"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</x:row>
    <x:row r="460"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</x:row>
    <x:row r="461"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</x:row>
    <x:row r="462"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</x:row>
    <x:row r="463"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</x:row>
    <x:row r="464"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</x:row>
    <x:row r="465"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</x:row>
    <x:row r="466"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</x:row>
    <x:row r="467"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</x:row>
    <x:row r="468"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</x:row>
    <x:row r="469"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</x:row>
    <x:row r="470"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</x:row>
    <x:row r="471"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</x:row>
    <x:row r="472"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</x:row>
    <x:row r="473"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</x:row>
    <x:row r="474"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</x:row>
    <x:row r="475"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</x:row>
    <x:row r="476"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</x:row>
    <x:row r="477"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</x:row>
    <x:row r="478"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</x:row>
    <x:row r="479"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</x:row>
    <x:row r="480"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</x:row>
    <x:row r="481"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</x:row>
    <x:row r="482"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</x:row>
    <x:row r="483"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</x:row>
    <x:row r="484"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</x:row>
    <x:row r="485"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</x:row>
    <x:row r="486"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</x:row>
    <x:row r="487"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</x:row>
    <x:row r="488"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</x:row>
    <x:row r="489"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</x:row>
    <x:row r="490"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</x:row>
    <x:row r="491"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</x:row>
    <x:row r="492"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</x:row>
    <x:row r="493"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</x:row>
    <x:row r="494"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</x:row>
    <x:row r="495"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</x:row>
    <x:row r="496"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</x:row>
    <x:row r="497"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</x:row>
    <x:row r="498"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</x:row>
    <x:row r="499"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</x:row>
    <x:row r="500"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</x:row>
  </x:sheetData>
  <x:pageMargins left="0.7" right="0.7" top="0.75" bottom="0.75" header="0.3" footer="0.3"/>
  <x:tableParts count="1">
    <x:tablePart xmlns:r="http://schemas.openxmlformats.org/officeDocument/2006/relationships" r:id="Ra03498acbd7749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11" hidden="0" customWidth="1"/>
    <x:col min="5" max="5" width="17" hidden="0" customWidth="1"/>
    <x:col min="6" max="6" width="11" hidden="0" customWidth="1"/>
    <x:col min="7" max="7" width="17" hidden="0" customWidth="1"/>
    <x:col min="8" max="8" width="11" hidden="0" customWidth="1"/>
    <x:col min="9" max="9" width="24" hidden="0" customWidth="1"/>
    <x:col min="10" max="10" width="13" hidden="0" customWidth="1"/>
    <x:col min="11" max="11" width="16" hidden="0" customWidth="1"/>
    <x:col min="12" max="12" width="20" hidden="0" customWidth="1"/>
    <x:col min="13" max="13" width="13" hidden="0" customWidth="1"/>
    <x:col min="14" max="14" width="17" hidden="0" customWidth="1"/>
    <x:col min="15" max="15" width="15" hidden="0" customWidth="1"/>
    <x:col min="16" max="16" width="16" hidden="0" customWidth="1"/>
    <x:col min="17" max="17" width="19" hidden="0" customWidth="1"/>
    <x:col min="18" max="18" width="17" hidden="0" customWidth="1"/>
    <x:col min="19" max="19" width="18" hidden="0" customWidth="1"/>
    <x:col min="20" max="20" width="18" hidden="0" customWidth="1"/>
    <x:col min="21" max="21" width="16" hidden="0" customWidth="1"/>
    <x:col min="22" max="22" width="16" hidden="0" customWidth="1"/>
    <x:col min="23" max="23" width="58" hidden="0" customWidth="1"/>
    <x:col min="24" max="24" width="23" hidden="0" customWidth="1"/>
    <x:col min="25" max="25" width="18" hidden="0" customWidth="1"/>
    <x:col min="26" max="26" width="12" hidden="0" customWidth="1"/>
  </x:cols>
  <x:sheetData>
    <x:row r="1" ht="30" customHeight="1">
      <x:c r="A1" s="9" t="str">
        <x:v>route_id</x:v>
      </x:c>
      <x:c r="B1" s="9" t="str">
        <x:v>product_id</x:v>
      </x:c>
      <x:c r="C1" s="9" t="str">
        <x:v>product_name</x:v>
      </x:c>
      <x:c r="D1" s="9" t="str">
        <x:v>source_id</x:v>
      </x:c>
      <x:c r="E1" s="9" t="str">
        <x:v>source_name</x:v>
      </x:c>
      <x:c r="F1" s="9" t="str">
        <x:v>target_id</x:v>
      </x:c>
      <x:c r="G1" s="9" t="str">
        <x:v>target_name</x:v>
      </x:c>
      <x:c r="H1" s="9" t="str">
        <x:v>dc_id</x:v>
      </x:c>
      <x:c r="I1" s="9" t="str">
        <x:v>dc_name</x:v>
      </x:c>
      <x:c r="J1" s="9" t="str">
        <x:v>route_type</x:v>
      </x:c>
      <x:c r="K1" s="9" t="str">
        <x:v>recommended_qty</x:v>
      </x:c>
      <x:c r="L1" s="9" t="str">
        <x:v>transport_type</x:v>
      </x:c>
      <x:c r="M1" s="9" t="str">
        <x:v>distance_km</x:v>
      </x:c>
      <x:c r="N1" s="9" t="str">
        <x:v>travel_time_min</x:v>
      </x:c>
      <x:c r="O1" s="9" t="str">
        <x:v>estimated_cost</x:v>
      </x:c>
      <x:c r="P1" s="9" t="str">
        <x:v>expected_saving</x:v>
      </x:c>
      <x:c r="Q1" s="9" t="str">
        <x:v>vhs_score</x:v>
      </x:c>
      <x:c r="R1" s="9" t="str">
        <x:v>recommendation_grade</x:v>
      </x:c>
      <x:c r="S1" s="9" t="str">
        <x:v>confidence_score</x:v>
      </x:c>
      <x:c r="T1" s="9" t="str">
        <x:v>greedy_action</x:v>
      </x:c>
      <x:c r="U1" s="9" t="str">
        <x:v>dqn_action</x:v>
      </x:c>
      <x:c r="V1" s="9" t="str">
        <x:v>reason</x:v>
      </x:c>
      <x:c r="W1" s="9" t="str">
        <x:v>avoided_disposal_cost</x:v>
      </x:c>
      <x:c r="X1" s="9" t="str">
        <x:v>recovered_margin</x:v>
      </x:c>
      <x:c r="Y1" s="9" t="str">
        <x:v>status</x:v>
      </x:c>
    </x:row>
    <x:row r="2" ht="44" customHeight="1">
      <x:c r="A2" s="4" t="str">
        <x:v>R001</x:v>
      </x:c>
      <x:c r="B2" s="4" t="str">
        <x:v>P01</x:v>
      </x:c>
      <x:c r="C2" s="4" t="str">
        <x:v>냉동만두500g</x:v>
      </x:c>
      <x:c r="D2" s="4" t="str">
        <x:v>S01</x:v>
      </x:c>
      <x:c r="E2" s="4" t="str">
        <x:v>연신내점</x:v>
      </x:c>
      <x:c r="F2" s="4" t="str">
        <x:v>S04</x:v>
      </x:c>
      <x:c r="G2" s="4" t="str">
        <x:v>홍제점</x:v>
      </x:c>
      <x:c r="H2" s="4"/>
      <x:c r="I2" s="4"/>
      <x:c r="J2" s="4" t="str">
        <x:v>DIRECT</x:v>
      </x:c>
      <x:c r="K2" s="42" t="n">
        <x:v>87</x:v>
      </x:c>
      <x:c r="L2" s="42" t="str">
        <x:v>냉동/냉장 탑차</x:v>
      </x:c>
      <x:c r="M2" s="42" t="n">
        <x:v>4.71</x:v>
      </x:c>
      <x:c r="N2" s="42" t="n">
        <x:v>8.8</x:v>
      </x:c>
      <x:c r="O2" s="42" t="n">
        <x:v>1748</x:v>
      </x:c>
      <x:c r="P2" s="42" t="n">
        <x:v>88297</x:v>
      </x:c>
      <x:c r="Q2" s="42" t="n">
        <x:v>91.2</x:v>
      </x:c>
      <x:c r="R2" s="42" t="str">
        <x:v>최적</x:v>
      </x:c>
      <x:c r="S2" s="42" t="n">
        <x:v>94</x:v>
      </x:c>
      <x:c r="T2" s="42" t="str">
        <x:v>재고 이동</x:v>
      </x:c>
      <x:c r="U2" s="42" t="str">
        <x:v>재고 이동</x:v>
      </x:c>
      <x:c r="V2" s="52" t="str">
        <x:v>직접 이동 비용이 DC 경유보다 낮고 도착 점포의 수요 부족이 큽니다.</x:v>
      </x:c>
      <x:c r="W2" s="42" t="n">
        <x:v>56550</x:v>
      </x:c>
      <x:c r="X2" s="42" t="n">
        <x:v>33495</x:v>
      </x:c>
      <x:c r="Y2" s="43" t="str">
        <x:v>READY</x:v>
      </x:c>
    </x:row>
    <x:row r="3" ht="44" customHeight="1">
      <x:c r="A3" s="4" t="str">
        <x:v>R002</x:v>
      </x:c>
      <x:c r="B3" s="4" t="str">
        <x:v>P02</x:v>
      </x:c>
      <x:c r="C3" s="4" t="str">
        <x:v>유어스샐러드랩</x:v>
      </x:c>
      <x:c r="D3" s="4" t="str">
        <x:v>S02</x:v>
      </x:c>
      <x:c r="E3" s="4" t="str">
        <x:v>불광점</x:v>
      </x:c>
      <x:c r="F3" s="4" t="str">
        <x:v>S07</x:v>
      </x:c>
      <x:c r="G3" s="4" t="str">
        <x:v>종로점</x:v>
      </x:c>
      <x:c r="H3" s="4" t="str">
        <x:v>DC01</x:v>
      </x:c>
      <x:c r="I3" s="4" t="str">
        <x:v>서울 서북권 물류센터</x:v>
      </x:c>
      <x:c r="J3" s="4" t="str">
        <x:v>VIA_DC</x:v>
      </x:c>
      <x:c r="K3" s="42" t="n">
        <x:v>80</x:v>
      </x:c>
      <x:c r="L3" s="42" t="str">
        <x:v>냉동/냉장 탑차</x:v>
      </x:c>
      <x:c r="M3" s="42" t="n">
        <x:v>7.64</x:v>
      </x:c>
      <x:c r="N3" s="42" t="n">
        <x:v>16.4</x:v>
      </x:c>
      <x:c r="O3" s="42" t="n">
        <x:v>3439</x:v>
      </x:c>
      <x:c r="P3" s="42" t="n">
        <x:v>60361</x:v>
      </x:c>
      <x:c r="Q3" s="42" t="n">
        <x:v>89.7</x:v>
      </x:c>
      <x:c r="R3" s="42" t="str">
        <x:v>최적</x:v>
      </x:c>
      <x:c r="S3" s="42" t="n">
        <x:v>92</x:v>
      </x:c>
      <x:c r="T3" s="42" t="str">
        <x:v>재고 이동</x:v>
      </x:c>
      <x:c r="U3" s="42" t="str">
        <x:v>재고 이동</x:v>
      </x:c>
      <x:c r="V3" s="52" t="str">
        <x:v>DC 통합 운송 비용이 직접 이동보다 낮고 콜드체인 조건을 충족합니다.</x:v>
      </x:c>
      <x:c r="W3" s="42" t="n">
        <x:v>40000</x:v>
      </x:c>
      <x:c r="X3" s="42" t="n">
        <x:v>23800</x:v>
      </x:c>
      <x:c r="Y3" s="43" t="str">
        <x:v>READY</x:v>
      </x:c>
    </x:row>
    <x:row r="4" ht="44" customHeight="1">
      <x:c r="A4" s="4" t="str">
        <x:v>R003</x:v>
      </x:c>
      <x:c r="B4" s="4" t="str">
        <x:v>P03</x:v>
      </x:c>
      <x:c r="C4" s="4" t="str">
        <x:v>서울우유200ml</x:v>
      </x:c>
      <x:c r="D4" s="4" t="str">
        <x:v>S03</x:v>
      </x:c>
      <x:c r="E4" s="4" t="str">
        <x:v>응암점</x:v>
      </x:c>
      <x:c r="F4" s="4" t="str">
        <x:v>S06</x:v>
      </x:c>
      <x:c r="G4" s="4" t="str">
        <x:v>마포점</x:v>
      </x:c>
      <x:c r="H4" s="4"/>
      <x:c r="I4" s="4"/>
      <x:c r="J4" s="4" t="str">
        <x:v>DIRECT</x:v>
      </x:c>
      <x:c r="K4" s="42" t="n">
        <x:v>75</x:v>
      </x:c>
      <x:c r="L4" s="42" t="str">
        <x:v>냉동/냉장 탑차</x:v>
      </x:c>
      <x:c r="M4" s="42" t="n">
        <x:v>8.03</x:v>
      </x:c>
      <x:c r="N4" s="42" t="n">
        <x:v>15.1</x:v>
      </x:c>
      <x:c r="O4" s="42" t="n">
        <x:v>2345</x:v>
      </x:c>
      <x:c r="P4" s="42" t="n">
        <x:v>27168</x:v>
      </x:c>
      <x:c r="Q4" s="42" t="n">
        <x:v>87.8</x:v>
      </x:c>
      <x:c r="R4" s="42" t="str">
        <x:v>우수</x:v>
      </x:c>
      <x:c r="S4" s="42" t="n">
        <x:v>90</x:v>
      </x:c>
      <x:c r="T4" s="42" t="str">
        <x:v>재고 이동</x:v>
      </x:c>
      <x:c r="U4" s="42" t="str">
        <x:v>재고 이동</x:v>
      </x:c>
      <x:c r="V4" s="52" t="str">
        <x:v>직접 이동 비용이 DC 경유보다 낮고 도착 점포의 수요 부족이 큽니다.</x:v>
      </x:c>
      <x:c r="W4" s="42" t="n">
        <x:v>18750</x:v>
      </x:c>
      <x:c r="X4" s="42" t="n">
        <x:v>10762</x:v>
      </x:c>
      <x:c r="Y4" s="43" t="str">
        <x:v>READY</x:v>
      </x:c>
    </x:row>
    <x:row r="5" ht="44" customHeight="1">
      <x:c r="A5" s="4" t="str">
        <x:v>R004</x:v>
      </x:c>
      <x:c r="B5" s="4" t="str">
        <x:v>P04</x:v>
      </x:c>
      <x:c r="C5" s="4" t="str">
        <x:v>혜자로운도시락</x:v>
      </x:c>
      <x:c r="D5" s="4" t="str">
        <x:v>S05</x:v>
      </x:c>
      <x:c r="E5" s="4" t="str">
        <x:v>신촌점</x:v>
      </x:c>
      <x:c r="F5" s="4" t="str">
        <x:v>S09</x:v>
      </x:c>
      <x:c r="G5" s="4" t="str">
        <x:v>상암점</x:v>
      </x:c>
      <x:c r="H5" s="4" t="str">
        <x:v>DC01</x:v>
      </x:c>
      <x:c r="I5" s="4" t="str">
        <x:v>서울 서북권 물류센터</x:v>
      </x:c>
      <x:c r="J5" s="4" t="str">
        <x:v>VIA_DC</x:v>
      </x:c>
      <x:c r="K5" s="42" t="n">
        <x:v>67</x:v>
      </x:c>
      <x:c r="L5" s="42" t="str">
        <x:v>냉동/냉장 탑차</x:v>
      </x:c>
      <x:c r="M5" s="42" t="n">
        <x:v>12.24</x:v>
      </x:c>
      <x:c r="N5" s="42" t="n">
        <x:v>26.3</x:v>
      </x:c>
      <x:c r="O5" s="42" t="n">
        <x:v>4727</x:v>
      </x:c>
      <x:c r="P5" s="42" t="n">
        <x:v>75003</x:v>
      </x:c>
      <x:c r="Q5" s="42" t="n">
        <x:v>85.6</x:v>
      </x:c>
      <x:c r="R5" s="42" t="str">
        <x:v>우수</x:v>
      </x:c>
      <x:c r="S5" s="42" t="n">
        <x:v>88</x:v>
      </x:c>
      <x:c r="T5" s="42" t="str">
        <x:v>재고 이동</x:v>
      </x:c>
      <x:c r="U5" s="42" t="str">
        <x:v>재고 이동</x:v>
      </x:c>
      <x:c r="V5" s="52" t="str">
        <x:v>DC 통합 운송 비용이 직접 이동보다 낮고 콜드체인 조건을 충족합니다.</x:v>
      </x:c>
      <x:c r="W5" s="42" t="n">
        <x:v>46900</x:v>
      </x:c>
      <x:c r="X5" s="42" t="n">
        <x:v>32830</x:v>
      </x:c>
      <x:c r="Y5" s="43" t="str">
        <x:v>READY</x:v>
      </x:c>
    </x:row>
    <x:row r="6" ht="44" customHeight="1">
      <x:c r="A6" s="4" t="str">
        <x:v>R005</x:v>
      </x:c>
      <x:c r="B6" s="4" t="str">
        <x:v>P05</x:v>
      </x:c>
      <x:c r="C6" s="4" t="str">
        <x:v>제주삼다수2L</x:v>
      </x:c>
      <x:c r="D6" s="4" t="str">
        <x:v>S08</x:v>
      </x:c>
      <x:c r="E6" s="4" t="str">
        <x:v>용산점</x:v>
      </x:c>
      <x:c r="F6" s="4" t="str">
        <x:v>S10</x:v>
      </x:c>
      <x:c r="G6" s="4" t="str">
        <x:v>구파발점</x:v>
      </x:c>
      <x:c r="H6" s="4"/>
      <x:c r="I6" s="4"/>
      <x:c r="J6" s="4" t="str">
        <x:v>DIRECT</x:v>
      </x:c>
      <x:c r="K6" s="42" t="n">
        <x:v>105</x:v>
      </x:c>
      <x:c r="L6" s="42" t="str">
        <x:v>트럭</x:v>
      </x:c>
      <x:c r="M6" s="42" t="n">
        <x:v>15.11</x:v>
      </x:c>
      <x:c r="N6" s="42" t="n">
        <x:v>28.3</x:v>
      </x:c>
      <x:c r="O6" s="42" t="n">
        <x:v>3620</x:v>
      </x:c>
      <x:c r="P6" s="42" t="n">
        <x:v>37855</x:v>
      </x:c>
      <x:c r="Q6" s="42" t="n">
        <x:v>82.4</x:v>
      </x:c>
      <x:c r="R6" s="42" t="str">
        <x:v>우수</x:v>
      </x:c>
      <x:c r="S6" s="42" t="n">
        <x:v>86</x:v>
      </x:c>
      <x:c r="T6" s="42" t="str">
        <x:v>재고 이동</x:v>
      </x:c>
      <x:c r="U6" s="42" t="str">
        <x:v>재고 이동</x:v>
      </x:c>
      <x:c r="V6" s="52" t="str">
        <x:v>직접 이동 비용이 DC 경유보다 낮고 도착 점포의 수요 부족이 큽니다.</x:v>
      </x:c>
      <x:c r="W6" s="42" t="n">
        <x:v>23100</x:v>
      </x:c>
      <x:c r="X6" s="42" t="n">
        <x:v>18375</x:v>
      </x:c>
      <x:c r="Y6" s="43" t="str">
        <x:v>READY</x:v>
      </x:c>
    </x:row>
    <x:row r="7" ht="44" customHeight="1">
      <x:c r="A7" s="4" t="str">
        <x:v>R006</x:v>
      </x:c>
      <x:c r="B7" s="4" t="str">
        <x:v>P06</x:v>
      </x:c>
      <x:c r="C7" s="4" t="str">
        <x:v>냉동삼각김밥</x:v>
      </x:c>
      <x:c r="D7" s="4" t="str">
        <x:v>S10</x:v>
      </x:c>
      <x:c r="E7" s="4" t="str">
        <x:v>구파발점</x:v>
      </x:c>
      <x:c r="F7" s="4" t="str">
        <x:v>S02</x:v>
      </x:c>
      <x:c r="G7" s="4" t="str">
        <x:v>불광점</x:v>
      </x:c>
      <x:c r="H7" s="4" t="str">
        <x:v>DC01</x:v>
      </x:c>
      <x:c r="I7" s="4" t="str">
        <x:v>서울 서북권 물류센터</x:v>
      </x:c>
      <x:c r="J7" s="4" t="str">
        <x:v>VIA_DC</x:v>
      </x:c>
      <x:c r="K7" s="42" t="n">
        <x:v>83</x:v>
      </x:c>
      <x:c r="L7" s="42" t="str">
        <x:v>냉동/냉장 탑차</x:v>
      </x:c>
      <x:c r="M7" s="42" t="n">
        <x:v>15.92</x:v>
      </x:c>
      <x:c r="N7" s="42" t="n">
        <x:v>34.1</x:v>
      </x:c>
      <x:c r="O7" s="42" t="n">
        <x:v>5758</x:v>
      </x:c>
      <x:c r="P7" s="42" t="n">
        <x:v>43627</x:v>
      </x:c>
      <x:c r="Q7" s="42" t="n">
        <x:v>80.9</x:v>
      </x:c>
      <x:c r="R7" s="42" t="str">
        <x:v>검토</x:v>
      </x:c>
      <x:c r="S7" s="42" t="n">
        <x:v>84</x:v>
      </x:c>
      <x:c r="T7" s="42" t="str">
        <x:v>재고 이동</x:v>
      </x:c>
      <x:c r="U7" s="42" t="str">
        <x:v>재고 이동</x:v>
      </x:c>
      <x:c r="V7" s="52" t="str">
        <x:v>DC 통합 운송 비용이 직접 이동보다 낮고 콜드체인 조건을 충족합니다.</x:v>
      </x:c>
      <x:c r="W7" s="42" t="n">
        <x:v>29050</x:v>
      </x:c>
      <x:c r="X7" s="42" t="n">
        <x:v>20335</x:v>
      </x:c>
      <x:c r="Y7" s="43" t="str">
        <x:v>READY</x:v>
      </x:c>
    </x:row>
    <x:row r="8" ht="44" customHeight="1">
      <x:c r="A8" s="4" t="str">
        <x:v>R007</x:v>
      </x:c>
      <x:c r="B8" s="4" t="str">
        <x:v>P07</x:v>
      </x:c>
      <x:c r="C8" s="4" t="str">
        <x:v>브레디크소금버터롤</x:v>
      </x:c>
      <x:c r="D8" s="4" t="str">
        <x:v>S04</x:v>
      </x:c>
      <x:c r="E8" s="4" t="str">
        <x:v>홍제점</x:v>
      </x:c>
      <x:c r="F8" s="4" t="str">
        <x:v>S05</x:v>
      </x:c>
      <x:c r="G8" s="4" t="str">
        <x:v>신촌점</x:v>
      </x:c>
      <x:c r="H8" s="4"/>
      <x:c r="I8" s="4"/>
      <x:c r="J8" s="4" t="str">
        <x:v>DIRECT</x:v>
      </x:c>
      <x:c r="K8" s="42" t="n">
        <x:v>57</x:v>
      </x:c>
      <x:c r="L8" s="42" t="str">
        <x:v>소형 차량</x:v>
      </x:c>
      <x:c r="M8" s="42" t="n">
        <x:v>4.52</x:v>
      </x:c>
      <x:c r="N8" s="42" t="n">
        <x:v>8.5</x:v>
      </x:c>
      <x:c r="O8" s="42" t="n">
        <x:v>1714</x:v>
      </x:c>
      <x:c r="P8" s="42" t="n">
        <x:v>37246</x:v>
      </x:c>
      <x:c r="Q8" s="42" t="n">
        <x:v>78.5</x:v>
      </x:c>
      <x:c r="R8" s="42" t="str">
        <x:v>검토</x:v>
      </x:c>
      <x:c r="S8" s="42" t="n">
        <x:v>82</x:v>
      </x:c>
      <x:c r="T8" s="42" t="str">
        <x:v>재고 이동</x:v>
      </x:c>
      <x:c r="U8" s="42" t="str">
        <x:v>보류</x:v>
      </x:c>
      <x:c r="V8" s="52" t="str">
        <x:v>직접 이동 비용이 DC 경유보다 낮고 도착 점포의 수요 부족이 큽니다.</x:v>
      </x:c>
      <x:c r="W8" s="42" t="n">
        <x:v>22800</x:v>
      </x:c>
      <x:c r="X8" s="42" t="n">
        <x:v>16159</x:v>
      </x:c>
      <x:c r="Y8" s="43" t="str">
        <x:v>READY</x:v>
      </x:c>
    </x:row>
    <x:row r="9" ht="44" customHeight="1">
      <x:c r="A9" s="15" t="str">
        <x:v>R008</x:v>
      </x:c>
      <x:c r="B9" s="15" t="str">
        <x:v>P08</x:v>
      </x:c>
      <x:c r="C9" s="15" t="str">
        <x:v>오뚜기진라면컵</x:v>
      </x:c>
      <x:c r="D9" s="15" t="str">
        <x:v>S06</x:v>
      </x:c>
      <x:c r="E9" s="15" t="str">
        <x:v>마포점</x:v>
      </x:c>
      <x:c r="F9" s="15" t="str">
        <x:v>S01</x:v>
      </x:c>
      <x:c r="G9" s="15" t="str">
        <x:v>연신내점</x:v>
      </x:c>
      <x:c r="H9" s="15"/>
      <x:c r="I9" s="15"/>
      <x:c r="J9" s="15" t="str">
        <x:v>DIRECT</x:v>
      </x:c>
      <x:c r="K9" s="44" t="n">
        <x:v>45</x:v>
      </x:c>
      <x:c r="L9" s="44" t="str">
        <x:v>소형 차량</x:v>
      </x:c>
      <x:c r="M9" s="44" t="n">
        <x:v>10.3</x:v>
      </x:c>
      <x:c r="N9" s="44" t="n">
        <x:v>19.3</x:v>
      </x:c>
      <x:c r="O9" s="44" t="n">
        <x:v>2754</x:v>
      </x:c>
      <x:c r="P9" s="44" t="n">
        <x:v>12434</x:v>
      </x:c>
      <x:c r="Q9" s="44" t="n">
        <x:v>71.3</x:v>
      </x:c>
      <x:c r="R9" s="44" t="str">
        <x:v>검토</x:v>
      </x:c>
      <x:c r="S9" s="44" t="n">
        <x:v>77</x:v>
      </x:c>
      <x:c r="T9" s="44" t="str">
        <x:v>할인</x:v>
      </x:c>
      <x:c r="U9" s="44" t="str">
        <x:v>할인</x:v>
      </x:c>
      <x:c r="V9" s="53" t="str">
        <x:v>직접 이동 비용이 DC 경유보다 낮고 도착 점포의 수요 부족이 큽니다.</x:v>
      </x:c>
      <x:c r="W9" s="44" t="n">
        <x:v>8100</x:v>
      </x:c>
      <x:c r="X9" s="44" t="n">
        <x:v>7088</x:v>
      </x:c>
      <x:c r="Y9" s="45" t="str">
        <x:v>READY</x:v>
      </x:c>
    </x:row>
    <x:row r="10"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</x:row>
    <x:row r="11"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</x:row>
    <x:row r="12"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</x:row>
    <x:row r="13"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</x:row>
    <x:row r="14"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</x:row>
    <x:row r="15"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</x:row>
    <x:row r="16"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</x:row>
    <x:row r="17"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</x:row>
    <x:row r="18"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</x:row>
    <x:row r="19"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</x:row>
    <x:row r="20"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</x:row>
    <x:row r="21"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</x:row>
    <x:row r="22"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</x:row>
    <x:row r="23"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</x:row>
    <x:row r="24"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</x:row>
    <x:row r="25"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</x:row>
    <x:row r="26"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</x:row>
    <x:row r="27"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</x:row>
    <x:row r="28"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</x:row>
    <x:row r="29"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</x:row>
    <x:row r="30"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</x:row>
    <x:row r="31"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</x:row>
    <x:row r="32"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</x:row>
    <x:row r="33"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</x:row>
    <x:row r="34"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</x:row>
    <x:row r="35"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</x:row>
    <x:row r="36"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</x:row>
    <x:row r="37"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</x:row>
    <x:row r="38"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</x:row>
    <x:row r="39"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</x:row>
    <x:row r="40"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</x:row>
    <x:row r="41"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</x:row>
    <x:row r="42"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</x:row>
    <x:row r="43"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</x:row>
    <x:row r="44"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</x:row>
    <x:row r="45"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</x:row>
    <x:row r="46"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</x:row>
    <x:row r="47"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</x:row>
    <x:row r="48"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</x:row>
    <x:row r="49"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</x:row>
    <x:row r="50"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</x:row>
    <x:row r="51"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</x:row>
    <x:row r="52"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</x:row>
    <x:row r="53"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</x:row>
    <x:row r="54"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</x:row>
    <x:row r="55"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</x:row>
    <x:row r="56"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</x:row>
    <x:row r="57"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</x:row>
    <x:row r="58"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</x:row>
    <x:row r="59"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</x:row>
    <x:row r="60"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</x:row>
    <x:row r="61"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</x:row>
    <x:row r="62"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</x:row>
    <x:row r="63"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</x:row>
    <x:row r="64"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</x:row>
    <x:row r="65"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</x:row>
    <x:row r="66"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</x:row>
    <x:row r="67"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</x:row>
    <x:row r="68"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</x:row>
    <x:row r="69"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</x:row>
    <x:row r="70"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</x:row>
    <x:row r="71"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</x:row>
    <x:row r="72"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</x:row>
    <x:row r="73"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</x:row>
    <x:row r="74"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</x:row>
    <x:row r="75"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</x:row>
    <x:row r="76"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</x:row>
    <x:row r="77"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</x:row>
    <x:row r="78"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</x:row>
    <x:row r="79"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</x:row>
    <x:row r="80"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</x:row>
    <x:row r="81"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</x:row>
    <x:row r="82"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</x:row>
    <x:row r="83"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</x:row>
    <x:row r="84"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</x:row>
    <x:row r="85"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</x:row>
    <x:row r="86"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</x:row>
    <x:row r="87"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</x:row>
    <x:row r="88"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</x:row>
    <x:row r="89"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</x:row>
    <x:row r="90"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</x:row>
    <x:row r="91"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</x:row>
    <x:row r="92"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</x:row>
    <x:row r="93"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</x:row>
    <x:row r="94"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</x:row>
    <x:row r="95"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</x:row>
    <x:row r="96"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</x:row>
    <x:row r="97"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</x:row>
    <x:row r="98"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</x:row>
    <x:row r="99"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</x:row>
    <x:row r="100"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</x:row>
  </x:sheetData>
  <x:conditionalFormatting sqref="P2:P9">
    <x:cfRule type="dataBar" priority="1">
      <x:dataBar>
        <x:cfvo type="min"/>
        <x:cfvo type="max"/>
        <x:color rgb="FFC9A227"/>
      </x:dataBar>
      <x:extLst>
        <x:ext xmlns:x14="http://schemas.microsoft.com/office/spreadsheetml/2009/9/main" uri="{B025F937-C7B1-47D3-B67F-A62EFF666E3E}">
          <x14:id>{09F35F55-AB8C-6429-C4D3-367F82EE7805}</x14:id>
        </x:ext>
      </x:extLst>
    </x:cfRule>
  </x:conditionalFormatting>
  <x:conditionalFormatting sqref="Q2:Q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9">
    <x:cfRule type="expression" dxfId="0" priority="3">
      <x:formula>J2="VIA_DC"</x:formula>
    </x:cfRule>
    <x:cfRule type="expression" dxfId="1" priority="4">
      <x:formula>J2="DIRECT"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47d2b4c65944b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F35F55-AB8C-6429-C4D3-367F82EE7805}">
            <x14:dataBar gradient="1">
              <x14:cfvo type="min"/>
              <x14:cfvo type="max"/>
              <x14:fillColor rgb="FFC9A227"/>
            </x14:dataBar>
          </x14:cfRule>
          <xm:sqref>P2:P9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1" hidden="0" customWidth="1"/>
    <x:col min="5" max="5" width="13" hidden="0" customWidth="1"/>
    <x:col min="6" max="6" width="12" hidden="0" customWidth="1"/>
    <x:col min="7" max="7" width="9" hidden="0" customWidth="1"/>
    <x:col min="8" max="8" width="17" hidden="0" customWidth="1"/>
  </x:cols>
  <x:sheetData>
    <x:row r="1" ht="30" customHeight="1">
      <x:c r="A1" s="9" t="str">
        <x:v>transport_type</x:v>
      </x:c>
      <x:c r="B1" s="9" t="str">
        <x:v>base_cost</x:v>
      </x:c>
      <x:c r="C1" s="9" t="str">
        <x:v>cost_per_km</x:v>
      </x:c>
      <x:c r="D1" s="9" t="str">
        <x:v>capacity</x:v>
      </x:c>
      <x:c r="E1" s="9" t="str">
        <x:v>speed_factor</x:v>
      </x:c>
      <x:c r="F1" s="9" t="str">
        <x:v>cold_chain</x:v>
      </x:c>
      <x:c r="G1" s="9" t="str">
        <x:v>icon</x:v>
      </x:c>
      <x:c r="H1" s="9" t="str">
        <x:v>max_distance_km</x:v>
      </x:c>
    </x:row>
    <x:row r="2" ht="22" customHeight="1">
      <x:c r="A2" s="4" t="str">
        <x:v>도보/카트</x:v>
      </x:c>
      <x:c r="B2" s="42" t="n">
        <x:v>300</x:v>
      </x:c>
      <x:c r="C2" s="42" t="n">
        <x:v>80</x:v>
      </x:c>
      <x:c r="D2" s="42" t="n">
        <x:v>5</x:v>
      </x:c>
      <x:c r="E2" s="42" t="n">
        <x:v>0.35</x:v>
      </x:c>
      <x:c r="F2" s="42" t="str">
        <x:v>N</x:v>
      </x:c>
      <x:c r="G2" s="42" t="str">
        <x:v>🛒</x:v>
      </x:c>
      <x:c r="H2" s="43" t="n">
        <x:v>1.5</x:v>
      </x:c>
    </x:row>
    <x:row r="3" ht="22" customHeight="1">
      <x:c r="A3" s="4" t="str">
        <x:v>오토바이</x:v>
      </x:c>
      <x:c r="B3" s="42" t="n">
        <x:v>900</x:v>
      </x:c>
      <x:c r="C3" s="42" t="n">
        <x:v>180</x:v>
      </x:c>
      <x:c r="D3" s="42" t="n">
        <x:v>15</x:v>
      </x:c>
      <x:c r="E3" s="42" t="n">
        <x:v>0.95</x:v>
      </x:c>
      <x:c r="F3" s="42" t="str">
        <x:v>N</x:v>
      </x:c>
      <x:c r="G3" s="42" t="str">
        <x:v>🛵</x:v>
      </x:c>
      <x:c r="H3" s="43" t="n">
        <x:v>8</x:v>
      </x:c>
    </x:row>
    <x:row r="4" ht="22" customHeight="1">
      <x:c r="A4" s="4" t="str">
        <x:v>소형 차량</x:v>
      </x:c>
      <x:c r="B4" s="42" t="n">
        <x:v>1700</x:v>
      </x:c>
      <x:c r="C4" s="42" t="n">
        <x:v>500</x:v>
      </x:c>
      <x:c r="D4" s="42" t="n">
        <x:v>80</x:v>
      </x:c>
      <x:c r="E4" s="42" t="n">
        <x:v>1</x:v>
      </x:c>
      <x:c r="F4" s="42" t="str">
        <x:v>N</x:v>
      </x:c>
      <x:c r="G4" s="42" t="str">
        <x:v>🚐</x:v>
      </x:c>
      <x:c r="H4" s="43" t="n">
        <x:v>25</x:v>
      </x:c>
    </x:row>
    <x:row r="5" ht="22" customHeight="1">
      <x:c r="A5" s="4" t="str">
        <x:v>트럭</x:v>
      </x:c>
      <x:c r="B5" s="42" t="n">
        <x:v>2600</x:v>
      </x:c>
      <x:c r="C5" s="42" t="n">
        <x:v>650</x:v>
      </x:c>
      <x:c r="D5" s="42" t="n">
        <x:v>200</x:v>
      </x:c>
      <x:c r="E5" s="42" t="n">
        <x:v>0.85</x:v>
      </x:c>
      <x:c r="F5" s="42" t="str">
        <x:v>N</x:v>
      </x:c>
      <x:c r="G5" s="42" t="str">
        <x:v>🚚</x:v>
      </x:c>
      <x:c r="H5" s="43" t="n">
        <x:v>50</x:v>
      </x:c>
    </x:row>
    <x:row r="6" ht="22" customHeight="1">
      <x:c r="A6" s="15" t="str">
        <x:v>냉동/냉장 탑차</x:v>
      </x:c>
      <x:c r="B6" s="44" t="n">
        <x:v>3200</x:v>
      </x:c>
      <x:c r="C6" s="44" t="n">
        <x:v>780</x:v>
      </x:c>
      <x:c r="D6" s="44" t="n">
        <x:v>200</x:v>
      </x:c>
      <x:c r="E6" s="44" t="n">
        <x:v>0.75</x:v>
      </x:c>
      <x:c r="F6" s="44" t="str">
        <x:v>Y</x:v>
      </x:c>
      <x:c r="G6" s="44" t="str">
        <x:v>❄️</x:v>
      </x:c>
      <x:c r="H6" s="45" t="n">
        <x:v>50</x:v>
      </x:c>
    </x:row>
    <x:row r="7">
      <x:c r="B7" s="46"/>
      <x:c r="C7" s="46"/>
      <x:c r="D7" s="46"/>
      <x:c r="E7" s="46"/>
      <x:c r="F7" s="46"/>
      <x:c r="G7" s="46"/>
      <x:c r="H7" s="46"/>
    </x:row>
    <x:row r="8">
      <x:c r="B8" s="46"/>
      <x:c r="C8" s="46"/>
      <x:c r="D8" s="46"/>
      <x:c r="E8" s="46"/>
      <x:c r="F8" s="46"/>
      <x:c r="G8" s="46"/>
      <x:c r="H8" s="46"/>
    </x:row>
    <x:row r="9">
      <x:c r="B9" s="46"/>
      <x:c r="C9" s="46"/>
      <x:c r="D9" s="46"/>
      <x:c r="E9" s="46"/>
      <x:c r="F9" s="46"/>
      <x:c r="G9" s="46"/>
      <x:c r="H9" s="46"/>
    </x:row>
    <x:row r="10">
      <x:c r="B10" s="46"/>
      <x:c r="C10" s="46"/>
      <x:c r="D10" s="46"/>
      <x:c r="E10" s="46"/>
      <x:c r="F10" s="46"/>
      <x:c r="G10" s="46"/>
      <x:c r="H10" s="46"/>
    </x:row>
    <x:row r="11">
      <x:c r="B11" s="46"/>
      <x:c r="C11" s="46"/>
      <x:c r="D11" s="46"/>
      <x:c r="E11" s="46"/>
      <x:c r="F11" s="46"/>
      <x:c r="G11" s="46"/>
      <x:c r="H11" s="46"/>
    </x:row>
    <x:row r="12">
      <x:c r="B12" s="46"/>
      <x:c r="C12" s="46"/>
      <x:c r="D12" s="46"/>
      <x:c r="E12" s="46"/>
      <x:c r="F12" s="46"/>
      <x:c r="G12" s="46"/>
      <x:c r="H12" s="46"/>
    </x:row>
    <x:row r="13">
      <x:c r="B13" s="46"/>
      <x:c r="C13" s="46"/>
      <x:c r="D13" s="46"/>
      <x:c r="E13" s="46"/>
      <x:c r="F13" s="46"/>
      <x:c r="G13" s="46"/>
      <x:c r="H13" s="46"/>
    </x:row>
    <x:row r="14">
      <x:c r="B14" s="46"/>
      <x:c r="C14" s="46"/>
      <x:c r="D14" s="46"/>
      <x:c r="E14" s="46"/>
      <x:c r="F14" s="46"/>
      <x:c r="G14" s="46"/>
      <x:c r="H14" s="46"/>
    </x:row>
    <x:row r="15">
      <x:c r="B15" s="46"/>
      <x:c r="C15" s="46"/>
      <x:c r="D15" s="46"/>
      <x:c r="E15" s="46"/>
      <x:c r="F15" s="46"/>
      <x:c r="G15" s="46"/>
      <x:c r="H15" s="46"/>
    </x:row>
    <x:row r="16">
      <x:c r="B16" s="46"/>
      <x:c r="C16" s="46"/>
      <x:c r="D16" s="46"/>
      <x:c r="E16" s="46"/>
      <x:c r="F16" s="46"/>
      <x:c r="G16" s="46"/>
      <x:c r="H16" s="46"/>
    </x:row>
    <x:row r="17">
      <x:c r="B17" s="46"/>
      <x:c r="C17" s="46"/>
      <x:c r="D17" s="46"/>
      <x:c r="E17" s="46"/>
      <x:c r="F17" s="46"/>
      <x:c r="G17" s="46"/>
      <x:c r="H17" s="46"/>
    </x:row>
    <x:row r="18">
      <x:c r="B18" s="46"/>
      <x:c r="C18" s="46"/>
      <x:c r="D18" s="46"/>
      <x:c r="E18" s="46"/>
      <x:c r="F18" s="46"/>
      <x:c r="G18" s="46"/>
      <x:c r="H18" s="46"/>
    </x:row>
    <x:row r="19">
      <x:c r="B19" s="46"/>
      <x:c r="C19" s="46"/>
      <x:c r="D19" s="46"/>
      <x:c r="E19" s="46"/>
      <x:c r="F19" s="46"/>
      <x:c r="G19" s="46"/>
      <x:c r="H19" s="46"/>
    </x:row>
    <x:row r="20">
      <x:c r="B20" s="46"/>
      <x:c r="C20" s="46"/>
      <x:c r="D20" s="46"/>
      <x:c r="E20" s="46"/>
      <x:c r="F20" s="46"/>
      <x:c r="G20" s="46"/>
      <x:c r="H20" s="46"/>
    </x:row>
  </x:sheetData>
  <x:pageMargins left="0.7" right="0.7" top="0.75" bottom="0.75" header="0.3" footer="0.3"/>
  <x:tableParts count="1">
    <x:tablePart xmlns:r="http://schemas.openxmlformats.org/officeDocument/2006/relationships" r:id="R2569d98ce50142d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0" hidden="0" customWidth="1"/>
  </x:cols>
  <x:sheetData>
    <x:row r="1" ht="30" customHeight="1">
      <x:c r="A1" s="9" t="str">
        <x:v>key</x:v>
      </x:c>
      <x:c r="B1" s="9" t="str">
        <x:v>value</x:v>
      </x:c>
      <x:c r="C1" s="9" t="str">
        <x:v>description</x:v>
      </x:c>
    </x:row>
    <x:row r="2" ht="22" customHeight="1">
      <x:c r="A2" s="4" t="str">
        <x:v>departure_time</x:v>
      </x:c>
      <x:c r="B2" s="4" t="str">
        <x:v>09:00</x:v>
      </x:c>
      <x:c r="C2" s="14" t="str">
        <x:v>기본 분석 출발 시간</x:v>
      </x:c>
    </x:row>
    <x:row r="3" ht="22" customHeight="1">
      <x:c r="A3" s="4" t="str">
        <x:v>promotion_type</x:v>
      </x:c>
      <x:c r="B3" s="4" t="str">
        <x:v>할인 프로모션</x:v>
      </x:c>
      <x:c r="C3" s="14" t="str">
        <x:v>프로모션 비교 기본 유형</x:v>
      </x:c>
    </x:row>
    <x:row r="4" ht="22" customHeight="1">
      <x:c r="A4" s="4" t="str">
        <x:v>promotion_discount_rate</x:v>
      </x:c>
      <x:c r="B4" s="4" t="n">
        <x:v>20</x:v>
      </x:c>
      <x:c r="C4" s="14" t="str">
        <x:v>기본 할인율(%)</x:v>
      </x:c>
    </x:row>
    <x:row r="5" ht="22" customHeight="1">
      <x:c r="A5" s="4" t="str">
        <x:v>promotion_sales_increase_rate</x:v>
      </x:c>
      <x:c r="B5" s="4" t="n">
        <x:v>80</x:v>
      </x:c>
      <x:c r="C5" s="14" t="str">
        <x:v>예상 판매 증가율(%)</x:v>
      </x:c>
    </x:row>
    <x:row r="6" ht="22" customHeight="1">
      <x:c r="A6" s="4" t="str">
        <x:v>promotion_fixed_cost</x:v>
      </x:c>
      <x:c r="B6" s="4" t="n">
        <x:v>0</x:v>
      </x:c>
      <x:c r="C6" s="14" t="str">
        <x:v>프로모션 고정비(원)</x:v>
      </x:c>
    </x:row>
    <x:row r="7" ht="22" customHeight="1">
      <x:c r="A7" s="4" t="str">
        <x:v>simulation_top_n</x:v>
      </x:c>
      <x:c r="B7" s="4" t="n">
        <x:v>5</x:v>
      </x:c>
      <x:c r="C7" s="14" t="str">
        <x:v>홈 다중 경로 기본 표시 수</x:v>
      </x:c>
    </x:row>
    <x:row r="8" ht="22" customHeight="1">
      <x:c r="A8" s="15" t="str">
        <x:v>dc_id</x:v>
      </x:c>
      <x:c r="B8" s="15" t="str">
        <x:v>DC01</x:v>
      </x:c>
      <x:c r="C8" s="16" t="str">
        <x:v>중앙 물류센터 ID</x:v>
      </x:c>
    </x:row>
  </x:sheetData>
  <x:pageMargins left="0.7" right="0.7" top="0.75" bottom="0.75" header="0.3" footer="0.3"/>
  <x:tableParts count="1">
    <x:tablePart xmlns:r="http://schemas.openxmlformats.org/officeDocument/2006/relationships" r:id="Rfc0c5e603c75439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3" hidden="0" customWidth="1"/>
    <x:col min="5" max="5" width="58" hidden="0" customWidth="1"/>
  </x:cols>
  <x:sheetData>
    <x:row r="1" ht="34" customHeight="1">
      <x:c r="A1" s="63" t="str">
        <x:v>VARO V2 샘플 데이터 품질 점검</x:v>
      </x:c>
      <x:c r="B1" s="63"/>
      <x:c r="C1" s="63"/>
      <x:c r="D1" s="63"/>
      <x:c r="E1" s="63"/>
    </x:row>
    <x:row r="3" ht="26" customHeight="1">
      <x:c r="A3" s="70" t="str">
        <x:v>검사항목</x:v>
      </x:c>
      <x:c r="B3" s="70" t="str">
        <x:v>실제값</x:v>
      </x:c>
      <x:c r="C3" s="70" t="str">
        <x:v>기대값</x:v>
      </x:c>
      <x:c r="D3" s="70" t="str">
        <x:v>상태</x:v>
      </x:c>
      <x:c r="E3" s="70" t="str">
        <x:v>설명</x:v>
      </x:c>
    </x:row>
    <x:row r="4" ht="24" customHeight="1">
      <x:c r="A4" s="4" t="str">
        <x:v>DC 수</x:v>
      </x:c>
      <x:c r="B4" s="4" t="n">
        <x:f>COUNTIF(stores!C2:C100,"DC")</x:f>
        <x:v>1</x:v>
      </x:c>
      <x:c r="C4" s="4" t="n">
        <x:v>1</x:v>
      </x:c>
      <x:c r="D4" s="4" t="str">
        <x:f>IF(B4=C4,"PASS","CHECK")</x:f>
        <x:v>PASS</x:v>
      </x:c>
      <x:c r="E4" s="4" t="str">
        <x:v>DC는 정확히 1개</x:v>
      </x:c>
    </x:row>
    <x:row r="5" ht="24" customHeight="1">
      <x:c r="A5" s="4" t="str">
        <x:v>점포 수</x:v>
      </x:c>
      <x:c r="B5" s="4" t="n">
        <x:f>COUNTIF(stores!C2:C100,"STORE")</x:f>
        <x:v>10</x:v>
      </x:c>
      <x:c r="C5" s="4" t="n">
        <x:v>10</x:v>
      </x:c>
      <x:c r="D5" s="4" t="str">
        <x:f>IF(B5=C5,"PASS","CHECK")</x:f>
        <x:v>PASS</x:v>
      </x:c>
      <x:c r="E5" s="4" t="str">
        <x:v>타원형 배치용 점포 10개</x:v>
      </x:c>
    </x:row>
    <x:row r="6" ht="24" customHeight="1">
      <x:c r="A6" s="4" t="str">
        <x:v>상품 수</x:v>
      </x:c>
      <x:c r="B6" s="4" t="n">
        <x:f>COUNTA(products!A2:A100)</x:f>
        <x:v>8</x:v>
      </x:c>
      <x:c r="C6" s="4" t="n">
        <x:v>8</x:v>
      </x:c>
      <x:c r="D6" s="4" t="str">
        <x:f>IF(B6=C6,"PASS","CHECK")</x:f>
        <x:v>PASS</x:v>
      </x:c>
      <x:c r="E6" s="4" t="str">
        <x:v>분석 상품 8개</x:v>
      </x:c>
    </x:row>
    <x:row r="7" ht="24" customHeight="1">
      <x:c r="A7" s="4" t="str">
        <x:v>재고 행 수</x:v>
      </x:c>
      <x:c r="B7" s="4" t="n">
        <x:f>COUNTA(inventory!A2:A1000)</x:f>
        <x:v>80</x:v>
      </x:c>
      <x:c r="C7" s="4" t="n">
        <x:v>80</x:v>
      </x:c>
      <x:c r="D7" s="4" t="str">
        <x:f>IF(B7=C7,"PASS","CHECK")</x:f>
        <x:v>PASS</x:v>
      </x:c>
      <x:c r="E7" s="4" t="str">
        <x:v>10개 점포 × 8개 상품</x:v>
      </x:c>
    </x:row>
    <x:row r="8" ht="24" customHeight="1">
      <x:c r="A8" s="4" t="str">
        <x:v>경로 행 수</x:v>
      </x:c>
      <x:c r="B8" s="4" t="n">
        <x:f>COUNTA(routes!A2:A1000)</x:f>
        <x:v>110</x:v>
      </x:c>
      <x:c r="C8" s="4" t="n">
        <x:v>110</x:v>
      </x:c>
      <x:c r="D8" s="4" t="str">
        <x:f>IF(B8=C8,"PASS","CHECK")</x:f>
        <x:v>PASS</x:v>
      </x:c>
      <x:c r="E8" s="4" t="str">
        <x:v>DC 왕복 20 + 점포 간 90</x:v>
      </x:c>
    </x:row>
    <x:row r="9" ht="24" customHeight="1">
      <x:c r="A9" s="4" t="str">
        <x:v>V2 추천 수</x:v>
      </x:c>
      <x:c r="B9" s="4" t="n">
        <x:f>COUNTA(v2_recommendations!A2:A100)</x:f>
        <x:v>8</x:v>
      </x:c>
      <x:c r="C9" s="4" t="n">
        <x:v>8</x:v>
      </x:c>
      <x:c r="D9" s="4" t="str">
        <x:f>IF(B9=C9,"PASS","CHECK")</x:f>
        <x:v>PASS</x:v>
      </x:c>
      <x:c r="E9" s="4" t="str">
        <x:v>홈 Top 5 외 추가 후보 포함</x:v>
      </x:c>
    </x:row>
    <x:row r="10" ht="24" customHeight="1">
      <x:c r="A10" s="4" t="str">
        <x:v>DIRECT 추천 수</x:v>
      </x:c>
      <x:c r="B10" s="4" t="n">
        <x:f>COUNTIF(v2_recommendations!J2:J100,"DIRECT")</x:f>
        <x:v>5</x:v>
      </x:c>
      <x:c r="C10" s="4" t="n">
        <x:v>5</x:v>
      </x:c>
      <x:c r="D10" s="4" t="str">
        <x:f>IF(B10=C10,"PASS","CHECK")</x:f>
        <x:v>PASS</x:v>
      </x:c>
      <x:c r="E10" s="4" t="str">
        <x:v>직접 이동 경로</x:v>
      </x:c>
    </x:row>
    <x:row r="11" ht="24" customHeight="1">
      <x:c r="A11" s="4" t="str">
        <x:v>VIA_DC 추천 수</x:v>
      </x:c>
      <x:c r="B11" s="4" t="n">
        <x:f>COUNTIF(v2_recommendations!J2:J100,"VIA_DC")</x:f>
        <x:v>3</x:v>
      </x:c>
      <x:c r="C11" s="4" t="n">
        <x:v>3</x:v>
      </x:c>
      <x:c r="D11" s="4" t="str">
        <x:f>IF(B11=C11,"PASS","CHECK")</x:f>
        <x:v>PASS</x:v>
      </x:c>
      <x:c r="E11" s="4" t="str">
        <x:v>DC 경유 경로</x:v>
      </x:c>
    </x:row>
    <x:row r="12" ht="24" customHeight="1">
      <x:c r="A12" s="4" t="str">
        <x:v>필수 시트 수</x:v>
      </x:c>
      <x:c r="B12" s="4" t="n">
        <x:v>4</x:v>
      </x:c>
      <x:c r="C12" s="4" t="n">
        <x:v>4</x:v>
      </x:c>
      <x:c r="D12" s="4" t="str">
        <x:f>IF(B12=C12,"PASS","CHECK")</x:f>
        <x:v>PASS</x:v>
      </x:c>
      <x:c r="E12" s="4" t="str">
        <x:v>stores/products/inventory/routes</x:v>
      </x:c>
    </x:row>
  </x:sheetData>
  <x:mergeCells>
    <x:mergeCell ref="A1:E1"/>
  </x:mergeCells>
  <x:conditionalFormatting sqref="D4:D12">
    <x:cfRule type="expression" dxfId="2" priority="1">
      <x:formula>D4="PASS"</x:formula>
    </x:cfRule>
    <x:cfRule type="expression" dxfId="3" priority="2">
      <x:formula>D4="CHECK"</x:formula>
    </x:cfRule>
  </x:conditionalFormatting>
  <x:pageMargins left="0.7" right="0.7" top="0.75" bottom="0.75" header="0.3" footer="0.3"/>
</x:worksheet>
</file>